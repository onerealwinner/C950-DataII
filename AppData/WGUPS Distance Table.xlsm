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0421cfbbe9277d3/WGU/Projects/C950-DataII/AppData/"/>
    </mc:Choice>
  </mc:AlternateContent>
  <xr:revisionPtr revIDLastSave="217" documentId="8_{EE44EA37-14CD-45A1-A141-E86537B64245}" xr6:coauthVersionLast="46" xr6:coauthVersionMax="46" xr10:uidLastSave="{C7468F99-59D6-4099-8A5B-EDB8AB696022}"/>
  <bookViews>
    <workbookView xWindow="24795" yWindow="990" windowWidth="32805" windowHeight="14130" activeTab="5" xr2:uid="{00000000-000D-0000-FFFF-FFFF00000000}"/>
  </bookViews>
  <sheets>
    <sheet name="WGU" sheetId="1" r:id="rId1"/>
    <sheet name="WGU (2)" sheetId="4" r:id="rId2"/>
    <sheet name="Address" sheetId="3" r:id="rId3"/>
    <sheet name="Distance To Points" sheetId="2" r:id="rId4"/>
    <sheet name="AddressCSV" sheetId="6" r:id="rId5"/>
    <sheet name="DistanceCSV" sheetId="7" r:id="rId6"/>
    <sheet name="AddressJSON" sheetId="8" r:id="rId7"/>
    <sheet name="DistanceJSON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7" l="1"/>
  <c r="F10" i="7"/>
  <c r="F12" i="7"/>
  <c r="F13" i="7"/>
  <c r="F21" i="7"/>
  <c r="F22" i="7"/>
  <c r="F24" i="7"/>
  <c r="F25" i="7"/>
  <c r="F33" i="7"/>
  <c r="F34" i="7"/>
  <c r="F36" i="7"/>
  <c r="F37" i="7"/>
  <c r="F46" i="7"/>
  <c r="F48" i="7"/>
  <c r="F49" i="7"/>
  <c r="F58" i="7"/>
  <c r="F60" i="7"/>
  <c r="F61" i="7"/>
  <c r="F70" i="7"/>
  <c r="F72" i="7"/>
  <c r="F73" i="7"/>
  <c r="F82" i="7"/>
  <c r="F84" i="7"/>
  <c r="F85" i="7"/>
  <c r="F94" i="7"/>
  <c r="F96" i="7"/>
  <c r="F97" i="7"/>
  <c r="F106" i="7"/>
  <c r="F108" i="7"/>
  <c r="F109" i="7"/>
  <c r="F118" i="7"/>
  <c r="F120" i="7"/>
  <c r="F121" i="7"/>
  <c r="F130" i="7"/>
  <c r="F132" i="7"/>
  <c r="F133" i="7"/>
  <c r="F142" i="7"/>
  <c r="F144" i="7"/>
  <c r="F145" i="7"/>
  <c r="F154" i="7"/>
  <c r="F156" i="7"/>
  <c r="F157" i="7"/>
  <c r="F166" i="7"/>
  <c r="F168" i="7"/>
  <c r="F169" i="7"/>
  <c r="F178" i="7"/>
  <c r="F180" i="7"/>
  <c r="F181" i="7"/>
  <c r="F190" i="7"/>
  <c r="F192" i="7"/>
  <c r="F193" i="7"/>
  <c r="F202" i="7"/>
  <c r="F204" i="7"/>
  <c r="F205" i="7"/>
  <c r="F214" i="7"/>
  <c r="F216" i="7"/>
  <c r="F217" i="7"/>
  <c r="F226" i="7"/>
  <c r="F228" i="7"/>
  <c r="F229" i="7"/>
  <c r="F238" i="7"/>
  <c r="F240" i="7"/>
  <c r="F241" i="7"/>
  <c r="F250" i="7"/>
  <c r="F252" i="7"/>
  <c r="F253" i="7"/>
  <c r="F262" i="7"/>
  <c r="F264" i="7"/>
  <c r="F265" i="7"/>
  <c r="F274" i="7"/>
  <c r="F276" i="7"/>
  <c r="F277" i="7"/>
  <c r="F286" i="7"/>
  <c r="F288" i="7"/>
  <c r="F289" i="7"/>
  <c r="F298" i="7"/>
  <c r="F300" i="7"/>
  <c r="F301" i="7"/>
  <c r="F310" i="7"/>
  <c r="F312" i="7"/>
  <c r="F313" i="7"/>
  <c r="F322" i="7"/>
  <c r="F324" i="7"/>
  <c r="F325" i="7"/>
  <c r="F334" i="7"/>
  <c r="F336" i="7"/>
  <c r="F337" i="7"/>
  <c r="F346" i="7"/>
  <c r="F348" i="7"/>
  <c r="F349" i="7"/>
  <c r="F358" i="7"/>
  <c r="F360" i="7"/>
  <c r="F361" i="7"/>
  <c r="F370" i="7"/>
  <c r="F372" i="7"/>
  <c r="F373" i="7"/>
  <c r="G20" i="7"/>
  <c r="G25" i="7"/>
  <c r="G32" i="7"/>
  <c r="G56" i="7"/>
  <c r="G61" i="7"/>
  <c r="G68" i="7"/>
  <c r="G92" i="7"/>
  <c r="G97" i="7"/>
  <c r="G104" i="7"/>
  <c r="G128" i="7"/>
  <c r="G133" i="7"/>
  <c r="G140" i="7"/>
  <c r="G164" i="7"/>
  <c r="G169" i="7"/>
  <c r="G176" i="7"/>
  <c r="G200" i="7"/>
  <c r="G205" i="7"/>
  <c r="G212" i="7"/>
  <c r="G236" i="7"/>
  <c r="G241" i="7"/>
  <c r="G248" i="7"/>
  <c r="G272" i="7"/>
  <c r="G277" i="7"/>
  <c r="G284" i="7"/>
  <c r="G308" i="7"/>
  <c r="G313" i="7"/>
  <c r="G320" i="7"/>
  <c r="G344" i="7"/>
  <c r="G349" i="7"/>
  <c r="G356" i="7"/>
  <c r="D2" i="7"/>
  <c r="G2" i="7" s="1"/>
  <c r="D3" i="7"/>
  <c r="G3" i="7" s="1"/>
  <c r="D4" i="7"/>
  <c r="G4" i="7" s="1"/>
  <c r="D5" i="7"/>
  <c r="G5" i="7" s="1"/>
  <c r="D6" i="7"/>
  <c r="G6" i="7" s="1"/>
  <c r="D7" i="7"/>
  <c r="G7" i="7" s="1"/>
  <c r="D8" i="7"/>
  <c r="G8" i="7" s="1"/>
  <c r="D9" i="7"/>
  <c r="G9" i="7" s="1"/>
  <c r="D10" i="7"/>
  <c r="G10" i="7" s="1"/>
  <c r="D11" i="7"/>
  <c r="G11" i="7" s="1"/>
  <c r="D12" i="7"/>
  <c r="G12" i="7" s="1"/>
  <c r="D13" i="7"/>
  <c r="G13" i="7" s="1"/>
  <c r="D14" i="7"/>
  <c r="G14" i="7" s="1"/>
  <c r="D15" i="7"/>
  <c r="G15" i="7" s="1"/>
  <c r="D16" i="7"/>
  <c r="G16" i="7" s="1"/>
  <c r="D17" i="7"/>
  <c r="F17" i="7" s="1"/>
  <c r="D18" i="7"/>
  <c r="G18" i="7" s="1"/>
  <c r="D19" i="7"/>
  <c r="G19" i="7" s="1"/>
  <c r="D20" i="7"/>
  <c r="F20" i="7" s="1"/>
  <c r="D21" i="7"/>
  <c r="G21" i="7" s="1"/>
  <c r="D22" i="7"/>
  <c r="G22" i="7" s="1"/>
  <c r="D23" i="7"/>
  <c r="G23" i="7" s="1"/>
  <c r="D24" i="7"/>
  <c r="G24" i="7" s="1"/>
  <c r="D25" i="7"/>
  <c r="D26" i="7"/>
  <c r="G26" i="7" s="1"/>
  <c r="D27" i="7"/>
  <c r="G27" i="7" s="1"/>
  <c r="D28" i="7"/>
  <c r="G28" i="7" s="1"/>
  <c r="D29" i="7"/>
  <c r="F29" i="7" s="1"/>
  <c r="D30" i="7"/>
  <c r="F30" i="7" s="1"/>
  <c r="D31" i="7"/>
  <c r="G31" i="7" s="1"/>
  <c r="D32" i="7"/>
  <c r="F32" i="7" s="1"/>
  <c r="D33" i="7"/>
  <c r="G33" i="7" s="1"/>
  <c r="D34" i="7"/>
  <c r="G34" i="7" s="1"/>
  <c r="D35" i="7"/>
  <c r="G35" i="7" s="1"/>
  <c r="D36" i="7"/>
  <c r="G36" i="7" s="1"/>
  <c r="D37" i="7"/>
  <c r="G37" i="7" s="1"/>
  <c r="D38" i="7"/>
  <c r="G38" i="7" s="1"/>
  <c r="D39" i="7"/>
  <c r="G39" i="7" s="1"/>
  <c r="D40" i="7"/>
  <c r="G40" i="7" s="1"/>
  <c r="D41" i="7"/>
  <c r="G41" i="7" s="1"/>
  <c r="D42" i="7"/>
  <c r="G42" i="7" s="1"/>
  <c r="D43" i="7"/>
  <c r="G43" i="7" s="1"/>
  <c r="D44" i="7"/>
  <c r="G44" i="7" s="1"/>
  <c r="D45" i="7"/>
  <c r="G45" i="7" s="1"/>
  <c r="D46" i="7"/>
  <c r="G46" i="7" s="1"/>
  <c r="D47" i="7"/>
  <c r="G47" i="7" s="1"/>
  <c r="D48" i="7"/>
  <c r="G48" i="7" s="1"/>
  <c r="D49" i="7"/>
  <c r="G49" i="7" s="1"/>
  <c r="D50" i="7"/>
  <c r="G50" i="7" s="1"/>
  <c r="D51" i="7"/>
  <c r="G51" i="7" s="1"/>
  <c r="D52" i="7"/>
  <c r="G52" i="7" s="1"/>
  <c r="D53" i="7"/>
  <c r="F53" i="7" s="1"/>
  <c r="D54" i="7"/>
  <c r="F54" i="7" s="1"/>
  <c r="D55" i="7"/>
  <c r="G55" i="7" s="1"/>
  <c r="D56" i="7"/>
  <c r="F56" i="7" s="1"/>
  <c r="D57" i="7"/>
  <c r="G57" i="7" s="1"/>
  <c r="D58" i="7"/>
  <c r="G58" i="7" s="1"/>
  <c r="D59" i="7"/>
  <c r="G59" i="7" s="1"/>
  <c r="D60" i="7"/>
  <c r="G60" i="7" s="1"/>
  <c r="D61" i="7"/>
  <c r="D62" i="7"/>
  <c r="G62" i="7" s="1"/>
  <c r="D63" i="7"/>
  <c r="G63" i="7" s="1"/>
  <c r="D64" i="7"/>
  <c r="G64" i="7" s="1"/>
  <c r="D65" i="7"/>
  <c r="F65" i="7" s="1"/>
  <c r="D66" i="7"/>
  <c r="F66" i="7" s="1"/>
  <c r="D67" i="7"/>
  <c r="G67" i="7" s="1"/>
  <c r="D68" i="7"/>
  <c r="F68" i="7" s="1"/>
  <c r="D69" i="7"/>
  <c r="G69" i="7" s="1"/>
  <c r="D70" i="7"/>
  <c r="G70" i="7" s="1"/>
  <c r="D71" i="7"/>
  <c r="G71" i="7" s="1"/>
  <c r="D72" i="7"/>
  <c r="G72" i="7" s="1"/>
  <c r="D73" i="7"/>
  <c r="G73" i="7" s="1"/>
  <c r="D74" i="7"/>
  <c r="G74" i="7" s="1"/>
  <c r="D75" i="7"/>
  <c r="G75" i="7" s="1"/>
  <c r="D76" i="7"/>
  <c r="G76" i="7" s="1"/>
  <c r="D77" i="7"/>
  <c r="G77" i="7" s="1"/>
  <c r="D78" i="7"/>
  <c r="G78" i="7" s="1"/>
  <c r="D79" i="7"/>
  <c r="G79" i="7" s="1"/>
  <c r="D80" i="7"/>
  <c r="G80" i="7" s="1"/>
  <c r="D81" i="7"/>
  <c r="G81" i="7" s="1"/>
  <c r="D82" i="7"/>
  <c r="G82" i="7" s="1"/>
  <c r="D83" i="7"/>
  <c r="G83" i="7" s="1"/>
  <c r="D84" i="7"/>
  <c r="G84" i="7" s="1"/>
  <c r="D85" i="7"/>
  <c r="G85" i="7" s="1"/>
  <c r="D86" i="7"/>
  <c r="G86" i="7" s="1"/>
  <c r="D87" i="7"/>
  <c r="G87" i="7" s="1"/>
  <c r="D88" i="7"/>
  <c r="G88" i="7" s="1"/>
  <c r="D89" i="7"/>
  <c r="F89" i="7" s="1"/>
  <c r="D90" i="7"/>
  <c r="F90" i="7" s="1"/>
  <c r="D91" i="7"/>
  <c r="G91" i="7" s="1"/>
  <c r="D92" i="7"/>
  <c r="F92" i="7" s="1"/>
  <c r="D93" i="7"/>
  <c r="G93" i="7" s="1"/>
  <c r="D94" i="7"/>
  <c r="G94" i="7" s="1"/>
  <c r="D95" i="7"/>
  <c r="G95" i="7" s="1"/>
  <c r="D96" i="7"/>
  <c r="G96" i="7" s="1"/>
  <c r="D97" i="7"/>
  <c r="D98" i="7"/>
  <c r="G98" i="7" s="1"/>
  <c r="D99" i="7"/>
  <c r="G99" i="7" s="1"/>
  <c r="D100" i="7"/>
  <c r="G100" i="7" s="1"/>
  <c r="D101" i="7"/>
  <c r="F101" i="7" s="1"/>
  <c r="D102" i="7"/>
  <c r="G102" i="7" s="1"/>
  <c r="D103" i="7"/>
  <c r="G103" i="7" s="1"/>
  <c r="D104" i="7"/>
  <c r="F104" i="7" s="1"/>
  <c r="D105" i="7"/>
  <c r="G105" i="7" s="1"/>
  <c r="D106" i="7"/>
  <c r="G106" i="7" s="1"/>
  <c r="D107" i="7"/>
  <c r="G107" i="7" s="1"/>
  <c r="D108" i="7"/>
  <c r="G108" i="7" s="1"/>
  <c r="D109" i="7"/>
  <c r="G109" i="7" s="1"/>
  <c r="D110" i="7"/>
  <c r="G110" i="7" s="1"/>
  <c r="D111" i="7"/>
  <c r="G111" i="7" s="1"/>
  <c r="D112" i="7"/>
  <c r="G112" i="7" s="1"/>
  <c r="D113" i="7"/>
  <c r="G113" i="7" s="1"/>
  <c r="D114" i="7"/>
  <c r="G114" i="7" s="1"/>
  <c r="D115" i="7"/>
  <c r="G115" i="7" s="1"/>
  <c r="D116" i="7"/>
  <c r="G116" i="7" s="1"/>
  <c r="D117" i="7"/>
  <c r="G117" i="7" s="1"/>
  <c r="D118" i="7"/>
  <c r="G118" i="7" s="1"/>
  <c r="D119" i="7"/>
  <c r="G119" i="7" s="1"/>
  <c r="D120" i="7"/>
  <c r="G120" i="7" s="1"/>
  <c r="D121" i="7"/>
  <c r="G121" i="7" s="1"/>
  <c r="D122" i="7"/>
  <c r="G122" i="7" s="1"/>
  <c r="D123" i="7"/>
  <c r="G123" i="7" s="1"/>
  <c r="D124" i="7"/>
  <c r="G124" i="7" s="1"/>
  <c r="D125" i="7"/>
  <c r="F125" i="7" s="1"/>
  <c r="D126" i="7"/>
  <c r="F126" i="7" s="1"/>
  <c r="D127" i="7"/>
  <c r="G127" i="7" s="1"/>
  <c r="D128" i="7"/>
  <c r="F128" i="7" s="1"/>
  <c r="D129" i="7"/>
  <c r="G129" i="7" s="1"/>
  <c r="D130" i="7"/>
  <c r="G130" i="7" s="1"/>
  <c r="D131" i="7"/>
  <c r="G131" i="7" s="1"/>
  <c r="D132" i="7"/>
  <c r="G132" i="7" s="1"/>
  <c r="D133" i="7"/>
  <c r="D134" i="7"/>
  <c r="G134" i="7" s="1"/>
  <c r="D135" i="7"/>
  <c r="G135" i="7" s="1"/>
  <c r="D136" i="7"/>
  <c r="G136" i="7" s="1"/>
  <c r="D137" i="7"/>
  <c r="F137" i="7" s="1"/>
  <c r="D138" i="7"/>
  <c r="G138" i="7" s="1"/>
  <c r="D139" i="7"/>
  <c r="G139" i="7" s="1"/>
  <c r="D140" i="7"/>
  <c r="F140" i="7" s="1"/>
  <c r="D141" i="7"/>
  <c r="G141" i="7" s="1"/>
  <c r="D142" i="7"/>
  <c r="G142" i="7" s="1"/>
  <c r="D143" i="7"/>
  <c r="G143" i="7" s="1"/>
  <c r="D144" i="7"/>
  <c r="G144" i="7" s="1"/>
  <c r="D145" i="7"/>
  <c r="G145" i="7" s="1"/>
  <c r="D146" i="7"/>
  <c r="G146" i="7" s="1"/>
  <c r="D147" i="7"/>
  <c r="G147" i="7" s="1"/>
  <c r="D148" i="7"/>
  <c r="G148" i="7" s="1"/>
  <c r="D149" i="7"/>
  <c r="G149" i="7" s="1"/>
  <c r="D150" i="7"/>
  <c r="G150" i="7" s="1"/>
  <c r="D151" i="7"/>
  <c r="G151" i="7" s="1"/>
  <c r="D152" i="7"/>
  <c r="G152" i="7" s="1"/>
  <c r="D153" i="7"/>
  <c r="G153" i="7" s="1"/>
  <c r="D154" i="7"/>
  <c r="G154" i="7" s="1"/>
  <c r="D155" i="7"/>
  <c r="G155" i="7" s="1"/>
  <c r="D156" i="7"/>
  <c r="G156" i="7" s="1"/>
  <c r="D157" i="7"/>
  <c r="G157" i="7" s="1"/>
  <c r="D158" i="7"/>
  <c r="G158" i="7" s="1"/>
  <c r="D159" i="7"/>
  <c r="G159" i="7" s="1"/>
  <c r="D160" i="7"/>
  <c r="G160" i="7" s="1"/>
  <c r="D161" i="7"/>
  <c r="F161" i="7" s="1"/>
  <c r="D162" i="7"/>
  <c r="F162" i="7" s="1"/>
  <c r="D163" i="7"/>
  <c r="G163" i="7" s="1"/>
  <c r="D164" i="7"/>
  <c r="F164" i="7" s="1"/>
  <c r="D165" i="7"/>
  <c r="G165" i="7" s="1"/>
  <c r="D166" i="7"/>
  <c r="G166" i="7" s="1"/>
  <c r="D167" i="7"/>
  <c r="G167" i="7" s="1"/>
  <c r="D168" i="7"/>
  <c r="G168" i="7" s="1"/>
  <c r="D169" i="7"/>
  <c r="D170" i="7"/>
  <c r="G170" i="7" s="1"/>
  <c r="D171" i="7"/>
  <c r="G171" i="7" s="1"/>
  <c r="D172" i="7"/>
  <c r="G172" i="7" s="1"/>
  <c r="D173" i="7"/>
  <c r="F173" i="7" s="1"/>
  <c r="D174" i="7"/>
  <c r="F174" i="7" s="1"/>
  <c r="D175" i="7"/>
  <c r="G175" i="7" s="1"/>
  <c r="D176" i="7"/>
  <c r="F176" i="7" s="1"/>
  <c r="D177" i="7"/>
  <c r="G177" i="7" s="1"/>
  <c r="D178" i="7"/>
  <c r="G178" i="7" s="1"/>
  <c r="D179" i="7"/>
  <c r="G179" i="7" s="1"/>
  <c r="D180" i="7"/>
  <c r="G180" i="7" s="1"/>
  <c r="D181" i="7"/>
  <c r="G181" i="7" s="1"/>
  <c r="D182" i="7"/>
  <c r="G182" i="7" s="1"/>
  <c r="D183" i="7"/>
  <c r="G183" i="7" s="1"/>
  <c r="D184" i="7"/>
  <c r="G184" i="7" s="1"/>
  <c r="D185" i="7"/>
  <c r="G185" i="7" s="1"/>
  <c r="D186" i="7"/>
  <c r="G186" i="7" s="1"/>
  <c r="D187" i="7"/>
  <c r="G187" i="7" s="1"/>
  <c r="D188" i="7"/>
  <c r="G188" i="7" s="1"/>
  <c r="D189" i="7"/>
  <c r="G189" i="7" s="1"/>
  <c r="D190" i="7"/>
  <c r="G190" i="7" s="1"/>
  <c r="D191" i="7"/>
  <c r="G191" i="7" s="1"/>
  <c r="D192" i="7"/>
  <c r="G192" i="7" s="1"/>
  <c r="D193" i="7"/>
  <c r="G193" i="7" s="1"/>
  <c r="D194" i="7"/>
  <c r="G194" i="7" s="1"/>
  <c r="D195" i="7"/>
  <c r="G195" i="7" s="1"/>
  <c r="D196" i="7"/>
  <c r="G196" i="7" s="1"/>
  <c r="D197" i="7"/>
  <c r="F197" i="7" s="1"/>
  <c r="D198" i="7"/>
  <c r="F198" i="7" s="1"/>
  <c r="D199" i="7"/>
  <c r="G199" i="7" s="1"/>
  <c r="D200" i="7"/>
  <c r="F200" i="7" s="1"/>
  <c r="D201" i="7"/>
  <c r="G201" i="7" s="1"/>
  <c r="D202" i="7"/>
  <c r="G202" i="7" s="1"/>
  <c r="D203" i="7"/>
  <c r="G203" i="7" s="1"/>
  <c r="D204" i="7"/>
  <c r="G204" i="7" s="1"/>
  <c r="D205" i="7"/>
  <c r="D206" i="7"/>
  <c r="G206" i="7" s="1"/>
  <c r="D207" i="7"/>
  <c r="G207" i="7" s="1"/>
  <c r="D208" i="7"/>
  <c r="G208" i="7" s="1"/>
  <c r="D209" i="7"/>
  <c r="F209" i="7" s="1"/>
  <c r="D210" i="7"/>
  <c r="G210" i="7" s="1"/>
  <c r="D211" i="7"/>
  <c r="G211" i="7" s="1"/>
  <c r="D212" i="7"/>
  <c r="F212" i="7" s="1"/>
  <c r="D213" i="7"/>
  <c r="G213" i="7" s="1"/>
  <c r="D214" i="7"/>
  <c r="G214" i="7" s="1"/>
  <c r="D215" i="7"/>
  <c r="G215" i="7" s="1"/>
  <c r="D216" i="7"/>
  <c r="G216" i="7" s="1"/>
  <c r="D217" i="7"/>
  <c r="G217" i="7" s="1"/>
  <c r="D218" i="7"/>
  <c r="G218" i="7" s="1"/>
  <c r="D219" i="7"/>
  <c r="G219" i="7" s="1"/>
  <c r="D220" i="7"/>
  <c r="G220" i="7" s="1"/>
  <c r="D221" i="7"/>
  <c r="G221" i="7" s="1"/>
  <c r="D222" i="7"/>
  <c r="G222" i="7" s="1"/>
  <c r="D223" i="7"/>
  <c r="G223" i="7" s="1"/>
  <c r="D224" i="7"/>
  <c r="G224" i="7" s="1"/>
  <c r="D225" i="7"/>
  <c r="G225" i="7" s="1"/>
  <c r="D226" i="7"/>
  <c r="G226" i="7" s="1"/>
  <c r="D227" i="7"/>
  <c r="G227" i="7" s="1"/>
  <c r="D228" i="7"/>
  <c r="G228" i="7" s="1"/>
  <c r="D229" i="7"/>
  <c r="G229" i="7" s="1"/>
  <c r="D230" i="7"/>
  <c r="G230" i="7" s="1"/>
  <c r="D231" i="7"/>
  <c r="G231" i="7" s="1"/>
  <c r="D232" i="7"/>
  <c r="G232" i="7" s="1"/>
  <c r="D233" i="7"/>
  <c r="F233" i="7" s="1"/>
  <c r="D234" i="7"/>
  <c r="F234" i="7" s="1"/>
  <c r="D235" i="7"/>
  <c r="G235" i="7" s="1"/>
  <c r="D236" i="7"/>
  <c r="F236" i="7" s="1"/>
  <c r="D237" i="7"/>
  <c r="G237" i="7" s="1"/>
  <c r="D238" i="7"/>
  <c r="G238" i="7" s="1"/>
  <c r="D239" i="7"/>
  <c r="G239" i="7" s="1"/>
  <c r="D240" i="7"/>
  <c r="G240" i="7" s="1"/>
  <c r="D241" i="7"/>
  <c r="D242" i="7"/>
  <c r="G242" i="7" s="1"/>
  <c r="D243" i="7"/>
  <c r="G243" i="7" s="1"/>
  <c r="D244" i="7"/>
  <c r="G244" i="7" s="1"/>
  <c r="D245" i="7"/>
  <c r="F245" i="7" s="1"/>
  <c r="D246" i="7"/>
  <c r="F246" i="7" s="1"/>
  <c r="D247" i="7"/>
  <c r="G247" i="7" s="1"/>
  <c r="D248" i="7"/>
  <c r="F248" i="7" s="1"/>
  <c r="D249" i="7"/>
  <c r="G249" i="7" s="1"/>
  <c r="D250" i="7"/>
  <c r="G250" i="7" s="1"/>
  <c r="D251" i="7"/>
  <c r="G251" i="7" s="1"/>
  <c r="D252" i="7"/>
  <c r="G252" i="7" s="1"/>
  <c r="D253" i="7"/>
  <c r="G253" i="7" s="1"/>
  <c r="D254" i="7"/>
  <c r="G254" i="7" s="1"/>
  <c r="D255" i="7"/>
  <c r="G255" i="7" s="1"/>
  <c r="D256" i="7"/>
  <c r="G256" i="7" s="1"/>
  <c r="D257" i="7"/>
  <c r="G257" i="7" s="1"/>
  <c r="D258" i="7"/>
  <c r="G258" i="7" s="1"/>
  <c r="D259" i="7"/>
  <c r="G259" i="7" s="1"/>
  <c r="D260" i="7"/>
  <c r="G260" i="7" s="1"/>
  <c r="D261" i="7"/>
  <c r="G261" i="7" s="1"/>
  <c r="D262" i="7"/>
  <c r="G262" i="7" s="1"/>
  <c r="D263" i="7"/>
  <c r="G263" i="7" s="1"/>
  <c r="D264" i="7"/>
  <c r="G264" i="7" s="1"/>
  <c r="D265" i="7"/>
  <c r="G265" i="7" s="1"/>
  <c r="D266" i="7"/>
  <c r="G266" i="7" s="1"/>
  <c r="D267" i="7"/>
  <c r="G267" i="7" s="1"/>
  <c r="D268" i="7"/>
  <c r="G268" i="7" s="1"/>
  <c r="D269" i="7"/>
  <c r="F269" i="7" s="1"/>
  <c r="D270" i="7"/>
  <c r="F270" i="7" s="1"/>
  <c r="D271" i="7"/>
  <c r="G271" i="7" s="1"/>
  <c r="D272" i="7"/>
  <c r="F272" i="7" s="1"/>
  <c r="D273" i="7"/>
  <c r="G273" i="7" s="1"/>
  <c r="D274" i="7"/>
  <c r="G274" i="7" s="1"/>
  <c r="D275" i="7"/>
  <c r="G275" i="7" s="1"/>
  <c r="D276" i="7"/>
  <c r="G276" i="7" s="1"/>
  <c r="D277" i="7"/>
  <c r="D278" i="7"/>
  <c r="G278" i="7" s="1"/>
  <c r="D279" i="7"/>
  <c r="G279" i="7" s="1"/>
  <c r="D280" i="7"/>
  <c r="G280" i="7" s="1"/>
  <c r="D281" i="7"/>
  <c r="F281" i="7" s="1"/>
  <c r="D282" i="7"/>
  <c r="F282" i="7" s="1"/>
  <c r="D283" i="7"/>
  <c r="G283" i="7" s="1"/>
  <c r="D284" i="7"/>
  <c r="F284" i="7" s="1"/>
  <c r="D285" i="7"/>
  <c r="G285" i="7" s="1"/>
  <c r="D286" i="7"/>
  <c r="G286" i="7" s="1"/>
  <c r="D287" i="7"/>
  <c r="G287" i="7" s="1"/>
  <c r="D288" i="7"/>
  <c r="G288" i="7" s="1"/>
  <c r="D289" i="7"/>
  <c r="G289" i="7" s="1"/>
  <c r="D290" i="7"/>
  <c r="G290" i="7" s="1"/>
  <c r="D291" i="7"/>
  <c r="G291" i="7" s="1"/>
  <c r="D292" i="7"/>
  <c r="G292" i="7" s="1"/>
  <c r="D293" i="7"/>
  <c r="G293" i="7" s="1"/>
  <c r="D294" i="7"/>
  <c r="G294" i="7" s="1"/>
  <c r="D295" i="7"/>
  <c r="G295" i="7" s="1"/>
  <c r="D296" i="7"/>
  <c r="G296" i="7" s="1"/>
  <c r="D297" i="7"/>
  <c r="G297" i="7" s="1"/>
  <c r="D298" i="7"/>
  <c r="G298" i="7" s="1"/>
  <c r="D299" i="7"/>
  <c r="G299" i="7" s="1"/>
  <c r="D300" i="7"/>
  <c r="G300" i="7" s="1"/>
  <c r="D301" i="7"/>
  <c r="G301" i="7" s="1"/>
  <c r="D302" i="7"/>
  <c r="G302" i="7" s="1"/>
  <c r="D303" i="7"/>
  <c r="G303" i="7" s="1"/>
  <c r="D304" i="7"/>
  <c r="G304" i="7" s="1"/>
  <c r="D305" i="7"/>
  <c r="F305" i="7" s="1"/>
  <c r="D306" i="7"/>
  <c r="F306" i="7" s="1"/>
  <c r="D307" i="7"/>
  <c r="G307" i="7" s="1"/>
  <c r="D308" i="7"/>
  <c r="F308" i="7" s="1"/>
  <c r="D309" i="7"/>
  <c r="G309" i="7" s="1"/>
  <c r="D310" i="7"/>
  <c r="G310" i="7" s="1"/>
  <c r="D311" i="7"/>
  <c r="G311" i="7" s="1"/>
  <c r="D312" i="7"/>
  <c r="G312" i="7" s="1"/>
  <c r="D313" i="7"/>
  <c r="D314" i="7"/>
  <c r="G314" i="7" s="1"/>
  <c r="D315" i="7"/>
  <c r="G315" i="7" s="1"/>
  <c r="D316" i="7"/>
  <c r="G316" i="7" s="1"/>
  <c r="D317" i="7"/>
  <c r="F317" i="7" s="1"/>
  <c r="D318" i="7"/>
  <c r="G318" i="7" s="1"/>
  <c r="D319" i="7"/>
  <c r="G319" i="7" s="1"/>
  <c r="D320" i="7"/>
  <c r="F320" i="7" s="1"/>
  <c r="D321" i="7"/>
  <c r="G321" i="7" s="1"/>
  <c r="D322" i="7"/>
  <c r="G322" i="7" s="1"/>
  <c r="D323" i="7"/>
  <c r="G323" i="7" s="1"/>
  <c r="D324" i="7"/>
  <c r="G324" i="7" s="1"/>
  <c r="D325" i="7"/>
  <c r="G325" i="7" s="1"/>
  <c r="D326" i="7"/>
  <c r="G326" i="7" s="1"/>
  <c r="D327" i="7"/>
  <c r="G327" i="7" s="1"/>
  <c r="D328" i="7"/>
  <c r="G328" i="7" s="1"/>
  <c r="D329" i="7"/>
  <c r="G329" i="7" s="1"/>
  <c r="D330" i="7"/>
  <c r="G330" i="7" s="1"/>
  <c r="D331" i="7"/>
  <c r="G331" i="7" s="1"/>
  <c r="D332" i="7"/>
  <c r="G332" i="7" s="1"/>
  <c r="D333" i="7"/>
  <c r="G333" i="7" s="1"/>
  <c r="D334" i="7"/>
  <c r="G334" i="7" s="1"/>
  <c r="D335" i="7"/>
  <c r="G335" i="7" s="1"/>
  <c r="D336" i="7"/>
  <c r="G336" i="7" s="1"/>
  <c r="D337" i="7"/>
  <c r="G337" i="7" s="1"/>
  <c r="D338" i="7"/>
  <c r="G338" i="7" s="1"/>
  <c r="D339" i="7"/>
  <c r="G339" i="7" s="1"/>
  <c r="D340" i="7"/>
  <c r="G340" i="7" s="1"/>
  <c r="D341" i="7"/>
  <c r="F341" i="7" s="1"/>
  <c r="D342" i="7"/>
  <c r="F342" i="7" s="1"/>
  <c r="D343" i="7"/>
  <c r="G343" i="7" s="1"/>
  <c r="D344" i="7"/>
  <c r="F344" i="7" s="1"/>
  <c r="D345" i="7"/>
  <c r="G345" i="7" s="1"/>
  <c r="D346" i="7"/>
  <c r="G346" i="7" s="1"/>
  <c r="D347" i="7"/>
  <c r="G347" i="7" s="1"/>
  <c r="D348" i="7"/>
  <c r="G348" i="7" s="1"/>
  <c r="D349" i="7"/>
  <c r="D350" i="7"/>
  <c r="G350" i="7" s="1"/>
  <c r="D351" i="7"/>
  <c r="G351" i="7" s="1"/>
  <c r="D352" i="7"/>
  <c r="G352" i="7" s="1"/>
  <c r="D353" i="7"/>
  <c r="F353" i="7" s="1"/>
  <c r="D354" i="7"/>
  <c r="F354" i="7" s="1"/>
  <c r="D355" i="7"/>
  <c r="G355" i="7" s="1"/>
  <c r="D356" i="7"/>
  <c r="F356" i="7" s="1"/>
  <c r="D357" i="7"/>
  <c r="G357" i="7" s="1"/>
  <c r="D358" i="7"/>
  <c r="G358" i="7" s="1"/>
  <c r="D359" i="7"/>
  <c r="G359" i="7" s="1"/>
  <c r="D360" i="7"/>
  <c r="G360" i="7" s="1"/>
  <c r="D361" i="7"/>
  <c r="G361" i="7" s="1"/>
  <c r="D362" i="7"/>
  <c r="G362" i="7" s="1"/>
  <c r="D363" i="7"/>
  <c r="G363" i="7" s="1"/>
  <c r="D364" i="7"/>
  <c r="G364" i="7" s="1"/>
  <c r="D365" i="7"/>
  <c r="G365" i="7" s="1"/>
  <c r="D366" i="7"/>
  <c r="G366" i="7" s="1"/>
  <c r="D367" i="7"/>
  <c r="G367" i="7" s="1"/>
  <c r="D368" i="7"/>
  <c r="G368" i="7" s="1"/>
  <c r="D369" i="7"/>
  <c r="G369" i="7" s="1"/>
  <c r="D370" i="7"/>
  <c r="G370" i="7" s="1"/>
  <c r="D371" i="7"/>
  <c r="G371" i="7" s="1"/>
  <c r="D372" i="7"/>
  <c r="G372" i="7" s="1"/>
  <c r="D373" i="7"/>
  <c r="G373" i="7" s="1"/>
  <c r="D374" i="7"/>
  <c r="G374" i="7" s="1"/>
  <c r="D375" i="7"/>
  <c r="G375" i="7" s="1"/>
  <c r="D376" i="7"/>
  <c r="G376" i="7" s="1"/>
  <c r="D377" i="7"/>
  <c r="F377" i="7" s="1"/>
  <c r="D378" i="7"/>
  <c r="F378" i="7" s="1"/>
  <c r="D1" i="7"/>
  <c r="G1" i="7" s="1"/>
  <c r="G354" i="7" l="1"/>
  <c r="G246" i="7"/>
  <c r="G30" i="7"/>
  <c r="G353" i="7"/>
  <c r="G317" i="7"/>
  <c r="G281" i="7"/>
  <c r="G245" i="7"/>
  <c r="G209" i="7"/>
  <c r="G173" i="7"/>
  <c r="G137" i="7"/>
  <c r="G101" i="7"/>
  <c r="G65" i="7"/>
  <c r="G29" i="7"/>
  <c r="F371" i="7"/>
  <c r="F359" i="7"/>
  <c r="F347" i="7"/>
  <c r="F335" i="7"/>
  <c r="F323" i="7"/>
  <c r="F311" i="7"/>
  <c r="F299" i="7"/>
  <c r="F287" i="7"/>
  <c r="F275" i="7"/>
  <c r="F263" i="7"/>
  <c r="F251" i="7"/>
  <c r="F239" i="7"/>
  <c r="F227" i="7"/>
  <c r="F215" i="7"/>
  <c r="F203" i="7"/>
  <c r="F191" i="7"/>
  <c r="F179" i="7"/>
  <c r="F167" i="7"/>
  <c r="F155" i="7"/>
  <c r="F143" i="7"/>
  <c r="F131" i="7"/>
  <c r="F119" i="7"/>
  <c r="F107" i="7"/>
  <c r="F95" i="7"/>
  <c r="F83" i="7"/>
  <c r="F71" i="7"/>
  <c r="F59" i="7"/>
  <c r="F47" i="7"/>
  <c r="F35" i="7"/>
  <c r="F23" i="7"/>
  <c r="F11" i="7"/>
  <c r="F369" i="7"/>
  <c r="F357" i="7"/>
  <c r="F333" i="7"/>
  <c r="F321" i="7"/>
  <c r="F309" i="7"/>
  <c r="F297" i="7"/>
  <c r="F285" i="7"/>
  <c r="F273" i="7"/>
  <c r="F261" i="7"/>
  <c r="F249" i="7"/>
  <c r="F237" i="7"/>
  <c r="F225" i="7"/>
  <c r="F213" i="7"/>
  <c r="F201" i="7"/>
  <c r="F189" i="7"/>
  <c r="F177" i="7"/>
  <c r="F165" i="7"/>
  <c r="F153" i="7"/>
  <c r="F141" i="7"/>
  <c r="F129" i="7"/>
  <c r="F117" i="7"/>
  <c r="F105" i="7"/>
  <c r="F93" i="7"/>
  <c r="F81" i="7"/>
  <c r="F69" i="7"/>
  <c r="F57" i="7"/>
  <c r="F45" i="7"/>
  <c r="G66" i="7"/>
  <c r="F345" i="7"/>
  <c r="G378" i="7"/>
  <c r="G342" i="7"/>
  <c r="G306" i="7"/>
  <c r="G270" i="7"/>
  <c r="G234" i="7"/>
  <c r="G198" i="7"/>
  <c r="G162" i="7"/>
  <c r="G126" i="7"/>
  <c r="G90" i="7"/>
  <c r="G54" i="7"/>
  <c r="G17" i="7"/>
  <c r="F368" i="7"/>
  <c r="F332" i="7"/>
  <c r="F296" i="7"/>
  <c r="F260" i="7"/>
  <c r="F224" i="7"/>
  <c r="F188" i="7"/>
  <c r="F152" i="7"/>
  <c r="F116" i="7"/>
  <c r="F80" i="7"/>
  <c r="F44" i="7"/>
  <c r="F8" i="7"/>
  <c r="G282" i="7"/>
  <c r="G377" i="7"/>
  <c r="G341" i="7"/>
  <c r="G305" i="7"/>
  <c r="G269" i="7"/>
  <c r="G233" i="7"/>
  <c r="G197" i="7"/>
  <c r="G161" i="7"/>
  <c r="G125" i="7"/>
  <c r="G89" i="7"/>
  <c r="G53" i="7"/>
  <c r="F1" i="7"/>
  <c r="F367" i="7"/>
  <c r="F355" i="7"/>
  <c r="F343" i="7"/>
  <c r="F331" i="7"/>
  <c r="F319" i="7"/>
  <c r="F307" i="7"/>
  <c r="F295" i="7"/>
  <c r="F283" i="7"/>
  <c r="F271" i="7"/>
  <c r="F259" i="7"/>
  <c r="F247" i="7"/>
  <c r="F235" i="7"/>
  <c r="F223" i="7"/>
  <c r="F211" i="7"/>
  <c r="F199" i="7"/>
  <c r="F187" i="7"/>
  <c r="F175" i="7"/>
  <c r="F163" i="7"/>
  <c r="F151" i="7"/>
  <c r="F139" i="7"/>
  <c r="F127" i="7"/>
  <c r="F115" i="7"/>
  <c r="F103" i="7"/>
  <c r="F91" i="7"/>
  <c r="F79" i="7"/>
  <c r="F67" i="7"/>
  <c r="F55" i="7"/>
  <c r="F43" i="7"/>
  <c r="F31" i="7"/>
  <c r="F19" i="7"/>
  <c r="F7" i="7"/>
  <c r="G174" i="7"/>
  <c r="F366" i="7"/>
  <c r="F330" i="7"/>
  <c r="F318" i="7"/>
  <c r="F294" i="7"/>
  <c r="F258" i="7"/>
  <c r="F222" i="7"/>
  <c r="F210" i="7"/>
  <c r="F186" i="7"/>
  <c r="F150" i="7"/>
  <c r="F138" i="7"/>
  <c r="F114" i="7"/>
  <c r="F102" i="7"/>
  <c r="F78" i="7"/>
  <c r="F42" i="7"/>
  <c r="F18" i="7"/>
  <c r="F6" i="7"/>
  <c r="F365" i="7"/>
  <c r="F329" i="7"/>
  <c r="F293" i="7"/>
  <c r="F257" i="7"/>
  <c r="F221" i="7"/>
  <c r="F185" i="7"/>
  <c r="F149" i="7"/>
  <c r="F113" i="7"/>
  <c r="F77" i="7"/>
  <c r="F41" i="7"/>
  <c r="F5" i="7"/>
  <c r="F376" i="7"/>
  <c r="F364" i="7"/>
  <c r="F352" i="7"/>
  <c r="F340" i="7"/>
  <c r="F328" i="7"/>
  <c r="F316" i="7"/>
  <c r="F304" i="7"/>
  <c r="F292" i="7"/>
  <c r="F280" i="7"/>
  <c r="F268" i="7"/>
  <c r="F256" i="7"/>
  <c r="F244" i="7"/>
  <c r="F232" i="7"/>
  <c r="F220" i="7"/>
  <c r="F208" i="7"/>
  <c r="F196" i="7"/>
  <c r="F184" i="7"/>
  <c r="F172" i="7"/>
  <c r="F160" i="7"/>
  <c r="F148" i="7"/>
  <c r="F136" i="7"/>
  <c r="F124" i="7"/>
  <c r="F112" i="7"/>
  <c r="F100" i="7"/>
  <c r="F88" i="7"/>
  <c r="F76" i="7"/>
  <c r="F64" i="7"/>
  <c r="F52" i="7"/>
  <c r="F40" i="7"/>
  <c r="F28" i="7"/>
  <c r="F16" i="7"/>
  <c r="F4" i="7"/>
  <c r="F375" i="7"/>
  <c r="F363" i="7"/>
  <c r="F351" i="7"/>
  <c r="F339" i="7"/>
  <c r="F327" i="7"/>
  <c r="F315" i="7"/>
  <c r="F303" i="7"/>
  <c r="F291" i="7"/>
  <c r="F279" i="7"/>
  <c r="F267" i="7"/>
  <c r="F255" i="7"/>
  <c r="F243" i="7"/>
  <c r="F231" i="7"/>
  <c r="F219" i="7"/>
  <c r="F207" i="7"/>
  <c r="F195" i="7"/>
  <c r="F183" i="7"/>
  <c r="F171" i="7"/>
  <c r="F159" i="7"/>
  <c r="F147" i="7"/>
  <c r="F135" i="7"/>
  <c r="F123" i="7"/>
  <c r="F111" i="7"/>
  <c r="F99" i="7"/>
  <c r="F87" i="7"/>
  <c r="F75" i="7"/>
  <c r="F63" i="7"/>
  <c r="F51" i="7"/>
  <c r="F39" i="7"/>
  <c r="F27" i="7"/>
  <c r="F15" i="7"/>
  <c r="F3" i="7"/>
  <c r="F374" i="7"/>
  <c r="F362" i="7"/>
  <c r="F350" i="7"/>
  <c r="F338" i="7"/>
  <c r="F326" i="7"/>
  <c r="F314" i="7"/>
  <c r="F302" i="7"/>
  <c r="F290" i="7"/>
  <c r="F278" i="7"/>
  <c r="F266" i="7"/>
  <c r="F254" i="7"/>
  <c r="F242" i="7"/>
  <c r="F230" i="7"/>
  <c r="F218" i="7"/>
  <c r="F206" i="7"/>
  <c r="F194" i="7"/>
  <c r="F182" i="7"/>
  <c r="F170" i="7"/>
  <c r="F158" i="7"/>
  <c r="F146" i="7"/>
  <c r="F134" i="7"/>
  <c r="F122" i="7"/>
  <c r="F110" i="7"/>
  <c r="F98" i="7"/>
  <c r="F86" i="7"/>
  <c r="F74" i="7"/>
  <c r="F62" i="7"/>
  <c r="F50" i="7"/>
  <c r="F38" i="7"/>
  <c r="F26" i="7"/>
  <c r="F14" i="7"/>
  <c r="F2" i="7"/>
  <c r="E2" i="9"/>
  <c r="E3" i="9"/>
  <c r="F3" i="9"/>
  <c r="G3" i="9"/>
  <c r="E4" i="9"/>
  <c r="F4" i="9"/>
  <c r="G4" i="9"/>
  <c r="E5" i="9"/>
  <c r="F5" i="9"/>
  <c r="G5" i="9"/>
  <c r="E6" i="9"/>
  <c r="F6" i="9"/>
  <c r="G6" i="9"/>
  <c r="E7" i="9"/>
  <c r="F7" i="9"/>
  <c r="G7" i="9"/>
  <c r="E8" i="9"/>
  <c r="F8" i="9"/>
  <c r="G8" i="9"/>
  <c r="E9" i="9"/>
  <c r="F9" i="9"/>
  <c r="G9" i="9"/>
  <c r="E10" i="9"/>
  <c r="F10" i="9"/>
  <c r="G10" i="9"/>
  <c r="E11" i="9"/>
  <c r="F11" i="9"/>
  <c r="G11" i="9"/>
  <c r="E12" i="9"/>
  <c r="F12" i="9"/>
  <c r="G12" i="9"/>
  <c r="E13" i="9"/>
  <c r="F13" i="9"/>
  <c r="G13" i="9"/>
  <c r="E14" i="9"/>
  <c r="F14" i="9"/>
  <c r="G14" i="9"/>
  <c r="E15" i="9"/>
  <c r="F15" i="9"/>
  <c r="G15" i="9"/>
  <c r="E16" i="9"/>
  <c r="F16" i="9"/>
  <c r="G16" i="9"/>
  <c r="E17" i="9"/>
  <c r="F17" i="9"/>
  <c r="G17" i="9"/>
  <c r="E18" i="9"/>
  <c r="F18" i="9"/>
  <c r="G18" i="9"/>
  <c r="E19" i="9"/>
  <c r="F19" i="9"/>
  <c r="G19" i="9"/>
  <c r="E20" i="9"/>
  <c r="F20" i="9"/>
  <c r="G20" i="9"/>
  <c r="E21" i="9"/>
  <c r="F21" i="9"/>
  <c r="G21" i="9"/>
  <c r="E22" i="9"/>
  <c r="F22" i="9"/>
  <c r="G22" i="9"/>
  <c r="E23" i="9"/>
  <c r="F23" i="9"/>
  <c r="G23" i="9"/>
  <c r="E24" i="9"/>
  <c r="F24" i="9"/>
  <c r="G24" i="9"/>
  <c r="E25" i="9"/>
  <c r="F25" i="9"/>
  <c r="G25" i="9"/>
  <c r="E26" i="9"/>
  <c r="F26" i="9"/>
  <c r="G26" i="9"/>
  <c r="E27" i="9"/>
  <c r="F27" i="9"/>
  <c r="G27" i="9"/>
  <c r="E28" i="9"/>
  <c r="F28" i="9"/>
  <c r="G28" i="9"/>
  <c r="E29" i="9"/>
  <c r="F29" i="9"/>
  <c r="G29" i="9"/>
  <c r="E30" i="9"/>
  <c r="F30" i="9"/>
  <c r="G30" i="9"/>
  <c r="E31" i="9"/>
  <c r="F31" i="9"/>
  <c r="G31" i="9"/>
  <c r="E32" i="9"/>
  <c r="F32" i="9"/>
  <c r="G32" i="9"/>
  <c r="E33" i="9"/>
  <c r="F33" i="9"/>
  <c r="G33" i="9"/>
  <c r="E34" i="9"/>
  <c r="F34" i="9"/>
  <c r="G34" i="9"/>
  <c r="E35" i="9"/>
  <c r="F35" i="9"/>
  <c r="G35" i="9"/>
  <c r="E36" i="9"/>
  <c r="F36" i="9"/>
  <c r="G36" i="9"/>
  <c r="E37" i="9"/>
  <c r="F37" i="9"/>
  <c r="G37" i="9"/>
  <c r="E38" i="9"/>
  <c r="F38" i="9"/>
  <c r="G38" i="9"/>
  <c r="E39" i="9"/>
  <c r="F39" i="9"/>
  <c r="G39" i="9"/>
  <c r="E40" i="9"/>
  <c r="F40" i="9"/>
  <c r="G40" i="9"/>
  <c r="E41" i="9"/>
  <c r="F41" i="9"/>
  <c r="G41" i="9"/>
  <c r="E42" i="9"/>
  <c r="F42" i="9"/>
  <c r="G42" i="9"/>
  <c r="E43" i="9"/>
  <c r="F43" i="9"/>
  <c r="G43" i="9"/>
  <c r="E44" i="9"/>
  <c r="F44" i="9"/>
  <c r="G44" i="9"/>
  <c r="E45" i="9"/>
  <c r="F45" i="9"/>
  <c r="G45" i="9"/>
  <c r="E46" i="9"/>
  <c r="F46" i="9"/>
  <c r="G46" i="9"/>
  <c r="E47" i="9"/>
  <c r="F47" i="9"/>
  <c r="G47" i="9"/>
  <c r="E48" i="9"/>
  <c r="F48" i="9"/>
  <c r="G48" i="9"/>
  <c r="E49" i="9"/>
  <c r="F49" i="9"/>
  <c r="G49" i="9"/>
  <c r="E50" i="9"/>
  <c r="F50" i="9"/>
  <c r="G50" i="9"/>
  <c r="E51" i="9"/>
  <c r="F51" i="9"/>
  <c r="G51" i="9"/>
  <c r="E52" i="9"/>
  <c r="F52" i="9"/>
  <c r="G52" i="9"/>
  <c r="E53" i="9"/>
  <c r="F53" i="9"/>
  <c r="G53" i="9"/>
  <c r="E54" i="9"/>
  <c r="F54" i="9"/>
  <c r="G54" i="9"/>
  <c r="E55" i="9"/>
  <c r="F55" i="9"/>
  <c r="G55" i="9"/>
  <c r="E56" i="9"/>
  <c r="F56" i="9"/>
  <c r="G56" i="9"/>
  <c r="E57" i="9"/>
  <c r="F57" i="9"/>
  <c r="G57" i="9"/>
  <c r="E58" i="9"/>
  <c r="F58" i="9"/>
  <c r="G58" i="9"/>
  <c r="E59" i="9"/>
  <c r="F59" i="9"/>
  <c r="G59" i="9"/>
  <c r="E60" i="9"/>
  <c r="F60" i="9"/>
  <c r="G60" i="9"/>
  <c r="E61" i="9"/>
  <c r="F61" i="9"/>
  <c r="G61" i="9"/>
  <c r="E62" i="9"/>
  <c r="F62" i="9"/>
  <c r="G62" i="9"/>
  <c r="E63" i="9"/>
  <c r="F63" i="9"/>
  <c r="G63" i="9"/>
  <c r="E64" i="9"/>
  <c r="F64" i="9"/>
  <c r="G64" i="9"/>
  <c r="E65" i="9"/>
  <c r="F65" i="9"/>
  <c r="G65" i="9"/>
  <c r="E66" i="9"/>
  <c r="F66" i="9"/>
  <c r="G66" i="9"/>
  <c r="E67" i="9"/>
  <c r="F67" i="9"/>
  <c r="G67" i="9"/>
  <c r="E68" i="9"/>
  <c r="F68" i="9"/>
  <c r="G68" i="9"/>
  <c r="E69" i="9"/>
  <c r="F69" i="9"/>
  <c r="G69" i="9"/>
  <c r="E70" i="9"/>
  <c r="F70" i="9"/>
  <c r="G70" i="9"/>
  <c r="E71" i="9"/>
  <c r="F71" i="9"/>
  <c r="G71" i="9"/>
  <c r="E72" i="9"/>
  <c r="F72" i="9"/>
  <c r="G72" i="9"/>
  <c r="E73" i="9"/>
  <c r="F73" i="9"/>
  <c r="G73" i="9"/>
  <c r="E74" i="9"/>
  <c r="F74" i="9"/>
  <c r="G74" i="9"/>
  <c r="E75" i="9"/>
  <c r="F75" i="9"/>
  <c r="G75" i="9"/>
  <c r="E76" i="9"/>
  <c r="F76" i="9"/>
  <c r="G76" i="9"/>
  <c r="E77" i="9"/>
  <c r="F77" i="9"/>
  <c r="G77" i="9"/>
  <c r="E78" i="9"/>
  <c r="F78" i="9"/>
  <c r="G78" i="9"/>
  <c r="E79" i="9"/>
  <c r="F79" i="9"/>
  <c r="G79" i="9"/>
  <c r="E80" i="9"/>
  <c r="F80" i="9"/>
  <c r="G80" i="9"/>
  <c r="E81" i="9"/>
  <c r="F81" i="9"/>
  <c r="G81" i="9"/>
  <c r="E82" i="9"/>
  <c r="F82" i="9"/>
  <c r="G82" i="9"/>
  <c r="E83" i="9"/>
  <c r="F83" i="9"/>
  <c r="G83" i="9"/>
  <c r="E84" i="9"/>
  <c r="F84" i="9"/>
  <c r="G84" i="9"/>
  <c r="E85" i="9"/>
  <c r="F85" i="9"/>
  <c r="G85" i="9"/>
  <c r="E86" i="9"/>
  <c r="F86" i="9"/>
  <c r="G86" i="9"/>
  <c r="E87" i="9"/>
  <c r="F87" i="9"/>
  <c r="G87" i="9"/>
  <c r="E88" i="9"/>
  <c r="F88" i="9"/>
  <c r="G88" i="9"/>
  <c r="E89" i="9"/>
  <c r="F89" i="9"/>
  <c r="G89" i="9"/>
  <c r="E90" i="9"/>
  <c r="F90" i="9"/>
  <c r="G90" i="9"/>
  <c r="E91" i="9"/>
  <c r="F91" i="9"/>
  <c r="G91" i="9"/>
  <c r="E92" i="9"/>
  <c r="F92" i="9"/>
  <c r="G92" i="9"/>
  <c r="E93" i="9"/>
  <c r="F93" i="9"/>
  <c r="G93" i="9"/>
  <c r="E94" i="9"/>
  <c r="F94" i="9"/>
  <c r="G94" i="9"/>
  <c r="E95" i="9"/>
  <c r="F95" i="9"/>
  <c r="G95" i="9"/>
  <c r="E96" i="9"/>
  <c r="F96" i="9"/>
  <c r="G96" i="9"/>
  <c r="E97" i="9"/>
  <c r="F97" i="9"/>
  <c r="G97" i="9"/>
  <c r="E98" i="9"/>
  <c r="F98" i="9"/>
  <c r="G98" i="9"/>
  <c r="E99" i="9"/>
  <c r="F99" i="9"/>
  <c r="G99" i="9"/>
  <c r="E100" i="9"/>
  <c r="F100" i="9"/>
  <c r="G100" i="9"/>
  <c r="E101" i="9"/>
  <c r="F101" i="9"/>
  <c r="G101" i="9"/>
  <c r="E102" i="9"/>
  <c r="F102" i="9"/>
  <c r="G102" i="9"/>
  <c r="E103" i="9"/>
  <c r="F103" i="9"/>
  <c r="G103" i="9"/>
  <c r="E104" i="9"/>
  <c r="F104" i="9"/>
  <c r="G104" i="9"/>
  <c r="E105" i="9"/>
  <c r="F105" i="9"/>
  <c r="G105" i="9"/>
  <c r="E106" i="9"/>
  <c r="F106" i="9"/>
  <c r="G106" i="9"/>
  <c r="E107" i="9"/>
  <c r="F107" i="9"/>
  <c r="G107" i="9"/>
  <c r="E108" i="9"/>
  <c r="F108" i="9"/>
  <c r="G108" i="9"/>
  <c r="E109" i="9"/>
  <c r="F109" i="9"/>
  <c r="G109" i="9"/>
  <c r="E110" i="9"/>
  <c r="F110" i="9"/>
  <c r="G110" i="9"/>
  <c r="E111" i="9"/>
  <c r="F111" i="9"/>
  <c r="G111" i="9"/>
  <c r="E112" i="9"/>
  <c r="F112" i="9"/>
  <c r="G112" i="9"/>
  <c r="E113" i="9"/>
  <c r="F113" i="9"/>
  <c r="G113" i="9"/>
  <c r="E114" i="9"/>
  <c r="F114" i="9"/>
  <c r="G114" i="9"/>
  <c r="E115" i="9"/>
  <c r="F115" i="9"/>
  <c r="G115" i="9"/>
  <c r="E116" i="9"/>
  <c r="F116" i="9"/>
  <c r="G116" i="9"/>
  <c r="E117" i="9"/>
  <c r="F117" i="9"/>
  <c r="G117" i="9"/>
  <c r="E118" i="9"/>
  <c r="F118" i="9"/>
  <c r="G118" i="9"/>
  <c r="E119" i="9"/>
  <c r="F119" i="9"/>
  <c r="G119" i="9"/>
  <c r="E120" i="9"/>
  <c r="F120" i="9"/>
  <c r="G120" i="9"/>
  <c r="E121" i="9"/>
  <c r="F121" i="9"/>
  <c r="G121" i="9"/>
  <c r="E122" i="9"/>
  <c r="F122" i="9"/>
  <c r="G122" i="9"/>
  <c r="E123" i="9"/>
  <c r="F123" i="9"/>
  <c r="G123" i="9"/>
  <c r="E124" i="9"/>
  <c r="F124" i="9"/>
  <c r="G124" i="9"/>
  <c r="E125" i="9"/>
  <c r="F125" i="9"/>
  <c r="G125" i="9"/>
  <c r="E126" i="9"/>
  <c r="F126" i="9"/>
  <c r="G126" i="9"/>
  <c r="E127" i="9"/>
  <c r="F127" i="9"/>
  <c r="G127" i="9"/>
  <c r="E128" i="9"/>
  <c r="F128" i="9"/>
  <c r="G128" i="9"/>
  <c r="E129" i="9"/>
  <c r="F129" i="9"/>
  <c r="G129" i="9"/>
  <c r="E130" i="9"/>
  <c r="F130" i="9"/>
  <c r="G130" i="9"/>
  <c r="E131" i="9"/>
  <c r="F131" i="9"/>
  <c r="G131" i="9"/>
  <c r="E132" i="9"/>
  <c r="F132" i="9"/>
  <c r="G132" i="9"/>
  <c r="E133" i="9"/>
  <c r="F133" i="9"/>
  <c r="G133" i="9"/>
  <c r="E134" i="9"/>
  <c r="F134" i="9"/>
  <c r="G134" i="9"/>
  <c r="E135" i="9"/>
  <c r="F135" i="9"/>
  <c r="G135" i="9"/>
  <c r="E136" i="9"/>
  <c r="F136" i="9"/>
  <c r="G136" i="9"/>
  <c r="E137" i="9"/>
  <c r="F137" i="9"/>
  <c r="G137" i="9"/>
  <c r="E138" i="9"/>
  <c r="F138" i="9"/>
  <c r="G138" i="9"/>
  <c r="E139" i="9"/>
  <c r="F139" i="9"/>
  <c r="G139" i="9"/>
  <c r="E140" i="9"/>
  <c r="F140" i="9"/>
  <c r="G140" i="9"/>
  <c r="E141" i="9"/>
  <c r="F141" i="9"/>
  <c r="G141" i="9"/>
  <c r="E142" i="9"/>
  <c r="F142" i="9"/>
  <c r="G142" i="9"/>
  <c r="E143" i="9"/>
  <c r="F143" i="9"/>
  <c r="G143" i="9"/>
  <c r="E144" i="9"/>
  <c r="F144" i="9"/>
  <c r="G144" i="9"/>
  <c r="E145" i="9"/>
  <c r="F145" i="9"/>
  <c r="G145" i="9"/>
  <c r="E146" i="9"/>
  <c r="F146" i="9"/>
  <c r="G146" i="9"/>
  <c r="E147" i="9"/>
  <c r="F147" i="9"/>
  <c r="G147" i="9"/>
  <c r="E148" i="9"/>
  <c r="F148" i="9"/>
  <c r="G148" i="9"/>
  <c r="E149" i="9"/>
  <c r="F149" i="9"/>
  <c r="G149" i="9"/>
  <c r="E150" i="9"/>
  <c r="F150" i="9"/>
  <c r="G150" i="9"/>
  <c r="E151" i="9"/>
  <c r="F151" i="9"/>
  <c r="G151" i="9"/>
  <c r="E152" i="9"/>
  <c r="F152" i="9"/>
  <c r="G152" i="9"/>
  <c r="E153" i="9"/>
  <c r="F153" i="9"/>
  <c r="G153" i="9"/>
  <c r="E154" i="9"/>
  <c r="F154" i="9"/>
  <c r="G154" i="9"/>
  <c r="E155" i="9"/>
  <c r="F155" i="9"/>
  <c r="G155" i="9"/>
  <c r="E156" i="9"/>
  <c r="F156" i="9"/>
  <c r="G156" i="9"/>
  <c r="E157" i="9"/>
  <c r="F157" i="9"/>
  <c r="G157" i="9"/>
  <c r="E158" i="9"/>
  <c r="F158" i="9"/>
  <c r="G158" i="9"/>
  <c r="E159" i="9"/>
  <c r="F159" i="9"/>
  <c r="G159" i="9"/>
  <c r="E160" i="9"/>
  <c r="F160" i="9"/>
  <c r="G160" i="9"/>
  <c r="E161" i="9"/>
  <c r="F161" i="9"/>
  <c r="G161" i="9"/>
  <c r="E162" i="9"/>
  <c r="F162" i="9"/>
  <c r="G162" i="9"/>
  <c r="E163" i="9"/>
  <c r="F163" i="9"/>
  <c r="G163" i="9"/>
  <c r="E164" i="9"/>
  <c r="F164" i="9"/>
  <c r="G164" i="9"/>
  <c r="E165" i="9"/>
  <c r="F165" i="9"/>
  <c r="G165" i="9"/>
  <c r="E166" i="9"/>
  <c r="F166" i="9"/>
  <c r="G166" i="9"/>
  <c r="E167" i="9"/>
  <c r="F167" i="9"/>
  <c r="G167" i="9"/>
  <c r="E168" i="9"/>
  <c r="F168" i="9"/>
  <c r="G168" i="9"/>
  <c r="E169" i="9"/>
  <c r="F169" i="9"/>
  <c r="G169" i="9"/>
  <c r="E170" i="9"/>
  <c r="F170" i="9"/>
  <c r="G170" i="9"/>
  <c r="E171" i="9"/>
  <c r="F171" i="9"/>
  <c r="G171" i="9"/>
  <c r="E172" i="9"/>
  <c r="F172" i="9"/>
  <c r="G172" i="9"/>
  <c r="E173" i="9"/>
  <c r="F173" i="9"/>
  <c r="G173" i="9"/>
  <c r="E174" i="9"/>
  <c r="F174" i="9"/>
  <c r="G174" i="9"/>
  <c r="E175" i="9"/>
  <c r="F175" i="9"/>
  <c r="G175" i="9"/>
  <c r="E176" i="9"/>
  <c r="F176" i="9"/>
  <c r="G176" i="9"/>
  <c r="E177" i="9"/>
  <c r="F177" i="9"/>
  <c r="G177" i="9"/>
  <c r="E178" i="9"/>
  <c r="F178" i="9"/>
  <c r="G178" i="9"/>
  <c r="E179" i="9"/>
  <c r="F179" i="9"/>
  <c r="G179" i="9"/>
  <c r="E180" i="9"/>
  <c r="F180" i="9"/>
  <c r="G180" i="9"/>
  <c r="E181" i="9"/>
  <c r="F181" i="9"/>
  <c r="G181" i="9"/>
  <c r="E182" i="9"/>
  <c r="F182" i="9"/>
  <c r="G182" i="9"/>
  <c r="E183" i="9"/>
  <c r="F183" i="9"/>
  <c r="G183" i="9"/>
  <c r="E184" i="9"/>
  <c r="F184" i="9"/>
  <c r="G184" i="9"/>
  <c r="E185" i="9"/>
  <c r="F185" i="9"/>
  <c r="G185" i="9"/>
  <c r="E186" i="9"/>
  <c r="F186" i="9"/>
  <c r="G186" i="9"/>
  <c r="E187" i="9"/>
  <c r="F187" i="9"/>
  <c r="G187" i="9"/>
  <c r="E188" i="9"/>
  <c r="F188" i="9"/>
  <c r="G188" i="9"/>
  <c r="E189" i="9"/>
  <c r="F189" i="9"/>
  <c r="G189" i="9"/>
  <c r="E190" i="9"/>
  <c r="F190" i="9"/>
  <c r="G190" i="9"/>
  <c r="E191" i="9"/>
  <c r="F191" i="9"/>
  <c r="G191" i="9"/>
  <c r="E192" i="9"/>
  <c r="F192" i="9"/>
  <c r="G192" i="9"/>
  <c r="E193" i="9"/>
  <c r="F193" i="9"/>
  <c r="G193" i="9"/>
  <c r="E194" i="9"/>
  <c r="F194" i="9"/>
  <c r="G194" i="9"/>
  <c r="E195" i="9"/>
  <c r="F195" i="9"/>
  <c r="G195" i="9"/>
  <c r="E196" i="9"/>
  <c r="F196" i="9"/>
  <c r="G196" i="9"/>
  <c r="E197" i="9"/>
  <c r="F197" i="9"/>
  <c r="G197" i="9"/>
  <c r="E198" i="9"/>
  <c r="F198" i="9"/>
  <c r="G198" i="9"/>
  <c r="E199" i="9"/>
  <c r="F199" i="9"/>
  <c r="G199" i="9"/>
  <c r="E200" i="9"/>
  <c r="F200" i="9"/>
  <c r="G200" i="9"/>
  <c r="E201" i="9"/>
  <c r="F201" i="9"/>
  <c r="G201" i="9"/>
  <c r="E202" i="9"/>
  <c r="F202" i="9"/>
  <c r="G202" i="9"/>
  <c r="E203" i="9"/>
  <c r="F203" i="9"/>
  <c r="G203" i="9"/>
  <c r="E204" i="9"/>
  <c r="F204" i="9"/>
  <c r="G204" i="9"/>
  <c r="E205" i="9"/>
  <c r="F205" i="9"/>
  <c r="G205" i="9"/>
  <c r="E206" i="9"/>
  <c r="F206" i="9"/>
  <c r="G206" i="9"/>
  <c r="E207" i="9"/>
  <c r="F207" i="9"/>
  <c r="G207" i="9"/>
  <c r="E208" i="9"/>
  <c r="F208" i="9"/>
  <c r="G208" i="9"/>
  <c r="E209" i="9"/>
  <c r="F209" i="9"/>
  <c r="G209" i="9"/>
  <c r="E210" i="9"/>
  <c r="F210" i="9"/>
  <c r="G210" i="9"/>
  <c r="E211" i="9"/>
  <c r="F211" i="9"/>
  <c r="G211" i="9"/>
  <c r="E212" i="9"/>
  <c r="F212" i="9"/>
  <c r="G212" i="9"/>
  <c r="E213" i="9"/>
  <c r="F213" i="9"/>
  <c r="G213" i="9"/>
  <c r="E214" i="9"/>
  <c r="F214" i="9"/>
  <c r="G214" i="9"/>
  <c r="E215" i="9"/>
  <c r="F215" i="9"/>
  <c r="G215" i="9"/>
  <c r="E216" i="9"/>
  <c r="F216" i="9"/>
  <c r="G216" i="9"/>
  <c r="E217" i="9"/>
  <c r="F217" i="9"/>
  <c r="G217" i="9"/>
  <c r="E218" i="9"/>
  <c r="F218" i="9"/>
  <c r="G218" i="9"/>
  <c r="E219" i="9"/>
  <c r="F219" i="9"/>
  <c r="G219" i="9"/>
  <c r="E220" i="9"/>
  <c r="F220" i="9"/>
  <c r="G220" i="9"/>
  <c r="E221" i="9"/>
  <c r="F221" i="9"/>
  <c r="G221" i="9"/>
  <c r="E222" i="9"/>
  <c r="F222" i="9"/>
  <c r="G222" i="9"/>
  <c r="E223" i="9"/>
  <c r="F223" i="9"/>
  <c r="G223" i="9"/>
  <c r="E224" i="9"/>
  <c r="F224" i="9"/>
  <c r="G224" i="9"/>
  <c r="E225" i="9"/>
  <c r="F225" i="9"/>
  <c r="G225" i="9"/>
  <c r="E226" i="9"/>
  <c r="F226" i="9"/>
  <c r="G226" i="9"/>
  <c r="E227" i="9"/>
  <c r="F227" i="9"/>
  <c r="G227" i="9"/>
  <c r="E228" i="9"/>
  <c r="F228" i="9"/>
  <c r="G228" i="9"/>
  <c r="E229" i="9"/>
  <c r="F229" i="9"/>
  <c r="G229" i="9"/>
  <c r="E230" i="9"/>
  <c r="F230" i="9"/>
  <c r="G230" i="9"/>
  <c r="E231" i="9"/>
  <c r="F231" i="9"/>
  <c r="G231" i="9"/>
  <c r="E232" i="9"/>
  <c r="F232" i="9"/>
  <c r="G232" i="9"/>
  <c r="E233" i="9"/>
  <c r="F233" i="9"/>
  <c r="G233" i="9"/>
  <c r="E234" i="9"/>
  <c r="F234" i="9"/>
  <c r="G234" i="9"/>
  <c r="E235" i="9"/>
  <c r="F235" i="9"/>
  <c r="G235" i="9"/>
  <c r="E236" i="9"/>
  <c r="F236" i="9"/>
  <c r="G236" i="9"/>
  <c r="E237" i="9"/>
  <c r="F237" i="9"/>
  <c r="G237" i="9"/>
  <c r="E238" i="9"/>
  <c r="F238" i="9"/>
  <c r="G238" i="9"/>
  <c r="E239" i="9"/>
  <c r="F239" i="9"/>
  <c r="G239" i="9"/>
  <c r="E240" i="9"/>
  <c r="F240" i="9"/>
  <c r="G240" i="9"/>
  <c r="E241" i="9"/>
  <c r="F241" i="9"/>
  <c r="G241" i="9"/>
  <c r="E242" i="9"/>
  <c r="F242" i="9"/>
  <c r="G242" i="9"/>
  <c r="E243" i="9"/>
  <c r="F243" i="9"/>
  <c r="G243" i="9"/>
  <c r="E244" i="9"/>
  <c r="F244" i="9"/>
  <c r="G244" i="9"/>
  <c r="E245" i="9"/>
  <c r="F245" i="9"/>
  <c r="G245" i="9"/>
  <c r="E246" i="9"/>
  <c r="F246" i="9"/>
  <c r="G246" i="9"/>
  <c r="E247" i="9"/>
  <c r="F247" i="9"/>
  <c r="G247" i="9"/>
  <c r="E248" i="9"/>
  <c r="F248" i="9"/>
  <c r="G248" i="9"/>
  <c r="E249" i="9"/>
  <c r="F249" i="9"/>
  <c r="G249" i="9"/>
  <c r="E250" i="9"/>
  <c r="F250" i="9"/>
  <c r="G250" i="9"/>
  <c r="E251" i="9"/>
  <c r="F251" i="9"/>
  <c r="G251" i="9"/>
  <c r="E252" i="9"/>
  <c r="F252" i="9"/>
  <c r="G252" i="9"/>
  <c r="E253" i="9"/>
  <c r="F253" i="9"/>
  <c r="G253" i="9"/>
  <c r="E254" i="9"/>
  <c r="F254" i="9"/>
  <c r="G254" i="9"/>
  <c r="E255" i="9"/>
  <c r="F255" i="9"/>
  <c r="G255" i="9"/>
  <c r="E256" i="9"/>
  <c r="F256" i="9"/>
  <c r="G256" i="9"/>
  <c r="E257" i="9"/>
  <c r="F257" i="9"/>
  <c r="G257" i="9"/>
  <c r="E258" i="9"/>
  <c r="F258" i="9"/>
  <c r="G258" i="9"/>
  <c r="E259" i="9"/>
  <c r="F259" i="9"/>
  <c r="G259" i="9"/>
  <c r="E260" i="9"/>
  <c r="F260" i="9"/>
  <c r="G260" i="9"/>
  <c r="E261" i="9"/>
  <c r="F261" i="9"/>
  <c r="G261" i="9"/>
  <c r="E262" i="9"/>
  <c r="F262" i="9"/>
  <c r="G262" i="9"/>
  <c r="E263" i="9"/>
  <c r="F263" i="9"/>
  <c r="G263" i="9"/>
  <c r="E264" i="9"/>
  <c r="F264" i="9"/>
  <c r="G264" i="9"/>
  <c r="E265" i="9"/>
  <c r="F265" i="9"/>
  <c r="G265" i="9"/>
  <c r="E266" i="9"/>
  <c r="F266" i="9"/>
  <c r="G266" i="9"/>
  <c r="E267" i="9"/>
  <c r="F267" i="9"/>
  <c r="G267" i="9"/>
  <c r="E268" i="9"/>
  <c r="F268" i="9"/>
  <c r="G268" i="9"/>
  <c r="E269" i="9"/>
  <c r="F269" i="9"/>
  <c r="G269" i="9"/>
  <c r="E270" i="9"/>
  <c r="F270" i="9"/>
  <c r="G270" i="9"/>
  <c r="E271" i="9"/>
  <c r="F271" i="9"/>
  <c r="G271" i="9"/>
  <c r="E272" i="9"/>
  <c r="F272" i="9"/>
  <c r="G272" i="9"/>
  <c r="E273" i="9"/>
  <c r="F273" i="9"/>
  <c r="G273" i="9"/>
  <c r="E274" i="9"/>
  <c r="F274" i="9"/>
  <c r="G274" i="9"/>
  <c r="E275" i="9"/>
  <c r="F275" i="9"/>
  <c r="G275" i="9"/>
  <c r="E276" i="9"/>
  <c r="F276" i="9"/>
  <c r="G276" i="9"/>
  <c r="E277" i="9"/>
  <c r="F277" i="9"/>
  <c r="G277" i="9"/>
  <c r="E278" i="9"/>
  <c r="F278" i="9"/>
  <c r="G278" i="9"/>
  <c r="E279" i="9"/>
  <c r="F279" i="9"/>
  <c r="G279" i="9"/>
  <c r="E280" i="9"/>
  <c r="F280" i="9"/>
  <c r="G280" i="9"/>
  <c r="E281" i="9"/>
  <c r="F281" i="9"/>
  <c r="G281" i="9"/>
  <c r="E282" i="9"/>
  <c r="F282" i="9"/>
  <c r="G282" i="9"/>
  <c r="E283" i="9"/>
  <c r="F283" i="9"/>
  <c r="G283" i="9"/>
  <c r="E284" i="9"/>
  <c r="F284" i="9"/>
  <c r="G284" i="9"/>
  <c r="E285" i="9"/>
  <c r="F285" i="9"/>
  <c r="G285" i="9"/>
  <c r="E286" i="9"/>
  <c r="F286" i="9"/>
  <c r="G286" i="9"/>
  <c r="E287" i="9"/>
  <c r="F287" i="9"/>
  <c r="G287" i="9"/>
  <c r="E288" i="9"/>
  <c r="F288" i="9"/>
  <c r="G288" i="9"/>
  <c r="E289" i="9"/>
  <c r="F289" i="9"/>
  <c r="G289" i="9"/>
  <c r="E290" i="9"/>
  <c r="F290" i="9"/>
  <c r="G290" i="9"/>
  <c r="E291" i="9"/>
  <c r="F291" i="9"/>
  <c r="G291" i="9"/>
  <c r="E292" i="9"/>
  <c r="F292" i="9"/>
  <c r="G292" i="9"/>
  <c r="E293" i="9"/>
  <c r="F293" i="9"/>
  <c r="G293" i="9"/>
  <c r="E294" i="9"/>
  <c r="F294" i="9"/>
  <c r="G294" i="9"/>
  <c r="E295" i="9"/>
  <c r="F295" i="9"/>
  <c r="G295" i="9"/>
  <c r="E296" i="9"/>
  <c r="F296" i="9"/>
  <c r="G296" i="9"/>
  <c r="E297" i="9"/>
  <c r="F297" i="9"/>
  <c r="G297" i="9"/>
  <c r="E298" i="9"/>
  <c r="F298" i="9"/>
  <c r="G298" i="9"/>
  <c r="E299" i="9"/>
  <c r="F299" i="9"/>
  <c r="G299" i="9"/>
  <c r="E300" i="9"/>
  <c r="F300" i="9"/>
  <c r="G300" i="9"/>
  <c r="E301" i="9"/>
  <c r="F301" i="9"/>
  <c r="G301" i="9"/>
  <c r="E302" i="9"/>
  <c r="F302" i="9"/>
  <c r="G302" i="9"/>
  <c r="E303" i="9"/>
  <c r="F303" i="9"/>
  <c r="G303" i="9"/>
  <c r="E304" i="9"/>
  <c r="F304" i="9"/>
  <c r="G304" i="9"/>
  <c r="E305" i="9"/>
  <c r="F305" i="9"/>
  <c r="G305" i="9"/>
  <c r="E306" i="9"/>
  <c r="F306" i="9"/>
  <c r="G306" i="9"/>
  <c r="E307" i="9"/>
  <c r="F307" i="9"/>
  <c r="G307" i="9"/>
  <c r="E308" i="9"/>
  <c r="F308" i="9"/>
  <c r="G308" i="9"/>
  <c r="E309" i="9"/>
  <c r="F309" i="9"/>
  <c r="G309" i="9"/>
  <c r="E310" i="9"/>
  <c r="F310" i="9"/>
  <c r="G310" i="9"/>
  <c r="E311" i="9"/>
  <c r="F311" i="9"/>
  <c r="G311" i="9"/>
  <c r="E312" i="9"/>
  <c r="F312" i="9"/>
  <c r="G312" i="9"/>
  <c r="E313" i="9"/>
  <c r="F313" i="9"/>
  <c r="G313" i="9"/>
  <c r="E314" i="9"/>
  <c r="F314" i="9"/>
  <c r="G314" i="9"/>
  <c r="E315" i="9"/>
  <c r="F315" i="9"/>
  <c r="G315" i="9"/>
  <c r="E316" i="9"/>
  <c r="F316" i="9"/>
  <c r="G316" i="9"/>
  <c r="E317" i="9"/>
  <c r="F317" i="9"/>
  <c r="G317" i="9"/>
  <c r="E318" i="9"/>
  <c r="F318" i="9"/>
  <c r="G318" i="9"/>
  <c r="E319" i="9"/>
  <c r="F319" i="9"/>
  <c r="G319" i="9"/>
  <c r="E320" i="9"/>
  <c r="F320" i="9"/>
  <c r="G320" i="9"/>
  <c r="E321" i="9"/>
  <c r="F321" i="9"/>
  <c r="G321" i="9"/>
  <c r="E322" i="9"/>
  <c r="F322" i="9"/>
  <c r="G322" i="9"/>
  <c r="E323" i="9"/>
  <c r="F323" i="9"/>
  <c r="G323" i="9"/>
  <c r="E324" i="9"/>
  <c r="F324" i="9"/>
  <c r="G324" i="9"/>
  <c r="E325" i="9"/>
  <c r="F325" i="9"/>
  <c r="G325" i="9"/>
  <c r="E326" i="9"/>
  <c r="F326" i="9"/>
  <c r="G326" i="9"/>
  <c r="E327" i="9"/>
  <c r="F327" i="9"/>
  <c r="G327" i="9"/>
  <c r="E328" i="9"/>
  <c r="F328" i="9"/>
  <c r="G328" i="9"/>
  <c r="E329" i="9"/>
  <c r="F329" i="9"/>
  <c r="G329" i="9"/>
  <c r="E330" i="9"/>
  <c r="F330" i="9"/>
  <c r="G330" i="9"/>
  <c r="E331" i="9"/>
  <c r="F331" i="9"/>
  <c r="G331" i="9"/>
  <c r="E332" i="9"/>
  <c r="F332" i="9"/>
  <c r="G332" i="9"/>
  <c r="E333" i="9"/>
  <c r="F333" i="9"/>
  <c r="G333" i="9"/>
  <c r="E334" i="9"/>
  <c r="F334" i="9"/>
  <c r="G334" i="9"/>
  <c r="E335" i="9"/>
  <c r="F335" i="9"/>
  <c r="G335" i="9"/>
  <c r="E336" i="9"/>
  <c r="F336" i="9"/>
  <c r="G336" i="9"/>
  <c r="E337" i="9"/>
  <c r="F337" i="9"/>
  <c r="G337" i="9"/>
  <c r="E338" i="9"/>
  <c r="F338" i="9"/>
  <c r="G338" i="9"/>
  <c r="E339" i="9"/>
  <c r="F339" i="9"/>
  <c r="G339" i="9"/>
  <c r="E340" i="9"/>
  <c r="F340" i="9"/>
  <c r="G340" i="9"/>
  <c r="E341" i="9"/>
  <c r="F341" i="9"/>
  <c r="G341" i="9"/>
  <c r="E342" i="9"/>
  <c r="F342" i="9"/>
  <c r="G342" i="9"/>
  <c r="E343" i="9"/>
  <c r="F343" i="9"/>
  <c r="G343" i="9"/>
  <c r="E344" i="9"/>
  <c r="F344" i="9"/>
  <c r="G344" i="9"/>
  <c r="E345" i="9"/>
  <c r="F345" i="9"/>
  <c r="G345" i="9"/>
  <c r="E346" i="9"/>
  <c r="F346" i="9"/>
  <c r="G346" i="9"/>
  <c r="E347" i="9"/>
  <c r="F347" i="9"/>
  <c r="G347" i="9"/>
  <c r="E348" i="9"/>
  <c r="F348" i="9"/>
  <c r="G348" i="9"/>
  <c r="E349" i="9"/>
  <c r="F349" i="9"/>
  <c r="G349" i="9"/>
  <c r="E350" i="9"/>
  <c r="F350" i="9"/>
  <c r="G350" i="9"/>
  <c r="E351" i="9"/>
  <c r="F351" i="9"/>
  <c r="G351" i="9"/>
  <c r="E352" i="9"/>
  <c r="F352" i="9"/>
  <c r="G352" i="9"/>
  <c r="E353" i="9"/>
  <c r="F353" i="9"/>
  <c r="G353" i="9"/>
  <c r="E354" i="9"/>
  <c r="F354" i="9"/>
  <c r="G354" i="9"/>
  <c r="E355" i="9"/>
  <c r="F355" i="9"/>
  <c r="G355" i="9"/>
  <c r="E356" i="9"/>
  <c r="F356" i="9"/>
  <c r="G356" i="9"/>
  <c r="E357" i="9"/>
  <c r="F357" i="9"/>
  <c r="G357" i="9"/>
  <c r="E358" i="9"/>
  <c r="F358" i="9"/>
  <c r="G358" i="9"/>
  <c r="E359" i="9"/>
  <c r="F359" i="9"/>
  <c r="G359" i="9"/>
  <c r="E360" i="9"/>
  <c r="F360" i="9"/>
  <c r="G360" i="9"/>
  <c r="E361" i="9"/>
  <c r="F361" i="9"/>
  <c r="G361" i="9"/>
  <c r="E362" i="9"/>
  <c r="F362" i="9"/>
  <c r="G362" i="9"/>
  <c r="E363" i="9"/>
  <c r="F363" i="9"/>
  <c r="G363" i="9"/>
  <c r="E364" i="9"/>
  <c r="F364" i="9"/>
  <c r="G364" i="9"/>
  <c r="E365" i="9"/>
  <c r="F365" i="9"/>
  <c r="G365" i="9"/>
  <c r="E366" i="9"/>
  <c r="F366" i="9"/>
  <c r="G366" i="9"/>
  <c r="E367" i="9"/>
  <c r="F367" i="9"/>
  <c r="G367" i="9"/>
  <c r="E368" i="9"/>
  <c r="F368" i="9"/>
  <c r="G368" i="9"/>
  <c r="E369" i="9"/>
  <c r="F369" i="9"/>
  <c r="G369" i="9"/>
  <c r="E370" i="9"/>
  <c r="F370" i="9"/>
  <c r="G370" i="9"/>
  <c r="E371" i="9"/>
  <c r="F371" i="9"/>
  <c r="G371" i="9"/>
  <c r="E372" i="9"/>
  <c r="F372" i="9"/>
  <c r="G372" i="9"/>
  <c r="E373" i="9"/>
  <c r="F373" i="9"/>
  <c r="G373" i="9"/>
  <c r="E374" i="9"/>
  <c r="F374" i="9"/>
  <c r="G374" i="9"/>
  <c r="E375" i="9"/>
  <c r="F375" i="9"/>
  <c r="G375" i="9"/>
  <c r="E376" i="9"/>
  <c r="F376" i="9"/>
  <c r="G376" i="9"/>
  <c r="E377" i="9"/>
  <c r="F377" i="9"/>
  <c r="G377" i="9"/>
  <c r="E378" i="9"/>
  <c r="F378" i="9"/>
  <c r="G378" i="9"/>
  <c r="E379" i="9"/>
  <c r="F379" i="9"/>
  <c r="G379" i="9"/>
  <c r="G2" i="9"/>
  <c r="F2" i="9"/>
  <c r="L2" i="8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1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1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1" i="8"/>
  <c r="I2" i="8"/>
  <c r="J2" i="8"/>
  <c r="K2" i="8"/>
  <c r="I3" i="8"/>
  <c r="J3" i="8"/>
  <c r="K3" i="8"/>
  <c r="I4" i="8"/>
  <c r="J4" i="8"/>
  <c r="K4" i="8"/>
  <c r="I5" i="8"/>
  <c r="J5" i="8"/>
  <c r="K5" i="8"/>
  <c r="I6" i="8"/>
  <c r="J6" i="8"/>
  <c r="K6" i="8"/>
  <c r="I7" i="8"/>
  <c r="J7" i="8"/>
  <c r="K7" i="8"/>
  <c r="I8" i="8"/>
  <c r="J8" i="8"/>
  <c r="K8" i="8"/>
  <c r="I9" i="8"/>
  <c r="J9" i="8"/>
  <c r="K9" i="8"/>
  <c r="I10" i="8"/>
  <c r="J10" i="8"/>
  <c r="K10" i="8"/>
  <c r="I11" i="8"/>
  <c r="J11" i="8"/>
  <c r="K11" i="8"/>
  <c r="I12" i="8"/>
  <c r="J12" i="8"/>
  <c r="K12" i="8"/>
  <c r="I13" i="8"/>
  <c r="J13" i="8"/>
  <c r="K13" i="8"/>
  <c r="I14" i="8"/>
  <c r="J14" i="8"/>
  <c r="K14" i="8"/>
  <c r="I15" i="8"/>
  <c r="J15" i="8"/>
  <c r="K15" i="8"/>
  <c r="I16" i="8"/>
  <c r="J16" i="8"/>
  <c r="K16" i="8"/>
  <c r="I17" i="8"/>
  <c r="J17" i="8"/>
  <c r="K17" i="8"/>
  <c r="I18" i="8"/>
  <c r="J18" i="8"/>
  <c r="K18" i="8"/>
  <c r="I19" i="8"/>
  <c r="J19" i="8"/>
  <c r="K19" i="8"/>
  <c r="I20" i="8"/>
  <c r="J20" i="8"/>
  <c r="K20" i="8"/>
  <c r="I21" i="8"/>
  <c r="J21" i="8"/>
  <c r="K21" i="8"/>
  <c r="I22" i="8"/>
  <c r="J22" i="8"/>
  <c r="K22" i="8"/>
  <c r="I23" i="8"/>
  <c r="J23" i="8"/>
  <c r="K23" i="8"/>
  <c r="I24" i="8"/>
  <c r="J24" i="8"/>
  <c r="K24" i="8"/>
  <c r="I25" i="8"/>
  <c r="J25" i="8"/>
  <c r="K25" i="8"/>
  <c r="I26" i="8"/>
  <c r="J26" i="8"/>
  <c r="K26" i="8"/>
  <c r="I27" i="8"/>
  <c r="J27" i="8"/>
  <c r="K27" i="8"/>
  <c r="K1" i="8"/>
  <c r="J1" i="8"/>
  <c r="I1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I1" i="6"/>
  <c r="J1" i="6"/>
  <c r="K1" i="6"/>
  <c r="L1" i="6"/>
  <c r="M1" i="6"/>
  <c r="H1" i="6"/>
  <c r="A2" i="2"/>
  <c r="B2" i="2"/>
  <c r="A3" i="2"/>
  <c r="B3" i="2"/>
  <c r="A4" i="2"/>
  <c r="B4" i="2"/>
  <c r="A5" i="2"/>
  <c r="B5" i="2"/>
  <c r="A6" i="2"/>
  <c r="B6" i="2"/>
  <c r="A7" i="2"/>
  <c r="B7" i="2"/>
  <c r="A8" i="2"/>
  <c r="B8" i="2"/>
  <c r="A9" i="2"/>
  <c r="B9" i="2"/>
  <c r="A10" i="2"/>
  <c r="B10" i="2"/>
  <c r="A11" i="2"/>
  <c r="B11" i="2"/>
  <c r="A12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3" i="3"/>
</calcChain>
</file>

<file path=xl/sharedStrings.xml><?xml version="1.0" encoding="utf-8"?>
<sst xmlns="http://schemas.openxmlformats.org/spreadsheetml/2006/main" count="1070" uniqueCount="122">
  <si>
    <t>WGUPS Distance Table</t>
  </si>
  <si>
    <t>NHP1 : WGUPS Routing Program</t>
  </si>
  <si>
    <t>Western Governors University
4001 South 700 East, 
Salt Lake City, UT 84107</t>
  </si>
  <si>
    <t xml:space="preserve"> HUB</t>
  </si>
  <si>
    <t>International Peace Gardens
 1060 Dalton Ave S</t>
  </si>
  <si>
    <t xml:space="preserve"> 1060 Dalton Ave S
(84104)</t>
  </si>
  <si>
    <t>Sugar House Park
 1330 2100 S</t>
  </si>
  <si>
    <t xml:space="preserve"> 1330 2100 S
(84106)</t>
  </si>
  <si>
    <t>Taylorsville-Bennion Heritage City Gov Off
 1488 4800 S</t>
  </si>
  <si>
    <t xml:space="preserve"> 1488 4800 S
(84123)</t>
  </si>
  <si>
    <t>Salt Lake City Division of Health Services 
 177 W Price Ave</t>
  </si>
  <si>
    <t xml:space="preserve"> 177 W Price Ave
(84115)</t>
  </si>
  <si>
    <t>South Salt Lake Public Works
 195 W Oakland Ave</t>
  </si>
  <si>
    <t xml:space="preserve"> 195 W Oakland Ave
(84115)</t>
  </si>
  <si>
    <t>Salt Lake City Streets and Sanitation
 2010 W 500 S</t>
  </si>
  <si>
    <t xml:space="preserve"> 2010 W 500 S
(84104)</t>
  </si>
  <si>
    <t>Deker Lake
 2300 Parkway Blvd</t>
  </si>
  <si>
    <t xml:space="preserve"> 2300 Parkway Blvd
(84119)</t>
  </si>
  <si>
    <t>Salt Lake City Ottinger Hall
 233 Canyon Rd</t>
  </si>
  <si>
    <t xml:space="preserve"> 233 Canyon Rd
(84103)</t>
  </si>
  <si>
    <t>Columbus Library
 2530 S 500 E</t>
  </si>
  <si>
    <t xml:space="preserve"> 2530 S 500 E
(84106)</t>
  </si>
  <si>
    <t>Taylorsville City Hall
 2600 Taylorsville Blvd</t>
  </si>
  <si>
    <t xml:space="preserve"> 2600 Taylorsville Blvd
(84118)</t>
  </si>
  <si>
    <t>South Salt Lake Police
 2835 Main St</t>
  </si>
  <si>
    <t xml:space="preserve"> 2835 Main St
(84115)</t>
  </si>
  <si>
    <t>Council Hall
 300 State St</t>
  </si>
  <si>
    <t xml:space="preserve"> 300 State St
(84103)</t>
  </si>
  <si>
    <t>Redwood Park
 3060 Lester St</t>
  </si>
  <si>
    <t xml:space="preserve"> 3060 Lester St
(84119)</t>
  </si>
  <si>
    <t>Salt Lake County Mental Health
 3148 S 1100 W</t>
  </si>
  <si>
    <t xml:space="preserve"> 3148 S 1100 W
(84119)</t>
  </si>
  <si>
    <t>Salt Lake County/United Police Dept
 3365 S 900 W</t>
  </si>
  <si>
    <t xml:space="preserve"> 3365 S 900 W
(84119)</t>
  </si>
  <si>
    <t>West Valley Prosecutor
 3575 W Valley Central Sta bus Loop</t>
  </si>
  <si>
    <t xml:space="preserve"> 3575 W Valley Central Station bus Loop
(84119)</t>
  </si>
  <si>
    <t>Housing Auth. of Salt Lake County
 3595 Main St</t>
  </si>
  <si>
    <t xml:space="preserve"> 3595 Main St
(84115)</t>
  </si>
  <si>
    <t>Utah DMV Administrative Office
 380 W 2880 S</t>
  </si>
  <si>
    <t xml:space="preserve"> 380 W 2880 S
(84115)</t>
  </si>
  <si>
    <t>Third District Juvenile Court
 410 S State St</t>
  </si>
  <si>
    <t xml:space="preserve"> 410 S State St
(84111)</t>
  </si>
  <si>
    <t>Cottonwood Regional Softball Complex
 4300 S 1300 E</t>
  </si>
  <si>
    <t xml:space="preserve"> 4300 S 1300 E
(84117)</t>
  </si>
  <si>
    <t>Holiday City Office
 4580 S 2300 E</t>
  </si>
  <si>
    <t xml:space="preserve"> 4580 S 2300 E
(84117)</t>
  </si>
  <si>
    <t>Murray City Museum
 5025 State St</t>
  </si>
  <si>
    <t xml:space="preserve"> 5025 State St
(84107)</t>
  </si>
  <si>
    <t>Valley Regional Softball Complex
 5100 South 2700 West</t>
  </si>
  <si>
    <t xml:space="preserve"> 5100 South 2700 West
(84118)</t>
  </si>
  <si>
    <t>City Center of Rock Springs
 5383 South 900 East #104</t>
  </si>
  <si>
    <t xml:space="preserve"> 5383 S 900 East #104
(84117)</t>
  </si>
  <si>
    <t>Rice Terrace Pavilion Park
 600 E 900 South</t>
  </si>
  <si>
    <t xml:space="preserve"> 600 E 900 South
(84105)</t>
  </si>
  <si>
    <t>Wheeler Historic Farm 
 6351 South 900 East</t>
  </si>
  <si>
    <t xml:space="preserve"> 6351 South 900 East
(84121)</t>
  </si>
  <si>
    <t>DISTANCE BETWEEN HUBS IN MILES</t>
  </si>
  <si>
    <t>ID</t>
  </si>
  <si>
    <t>Distance</t>
  </si>
  <si>
    <t>Address Name</t>
  </si>
  <si>
    <t>Street Address</t>
  </si>
  <si>
    <t>Zip Code</t>
  </si>
  <si>
    <t>distance to Hub</t>
  </si>
  <si>
    <t>Time to hub Minutes</t>
  </si>
  <si>
    <t>4001 South 700 East</t>
  </si>
  <si>
    <t>Western Governors University</t>
  </si>
  <si>
    <t>1060 Dalton Ave S</t>
  </si>
  <si>
    <t>1330 2100 S</t>
  </si>
  <si>
    <t>1488 4800 S</t>
  </si>
  <si>
    <t>177 W Price Ave</t>
  </si>
  <si>
    <t>195 W Oakland Ave</t>
  </si>
  <si>
    <t>2010 W 500 S</t>
  </si>
  <si>
    <t>2300 Parkway Blvd</t>
  </si>
  <si>
    <t>233 Canyon Rd</t>
  </si>
  <si>
    <t>2530 S 500 E</t>
  </si>
  <si>
    <t>2600 Taylorsville Blvd</t>
  </si>
  <si>
    <t>2835 Main St</t>
  </si>
  <si>
    <t>300 State St</t>
  </si>
  <si>
    <t>3060 Lester St</t>
  </si>
  <si>
    <t>3148 S 1100 W</t>
  </si>
  <si>
    <t>3365 S 900 W</t>
  </si>
  <si>
    <t>3575 W Valley Central Station bus Loop</t>
  </si>
  <si>
    <t>3595 Main St</t>
  </si>
  <si>
    <t>380 W 2880 S</t>
  </si>
  <si>
    <t>410 S State St</t>
  </si>
  <si>
    <t>4300 S 1300 E</t>
  </si>
  <si>
    <t>4580 S 2300 E</t>
  </si>
  <si>
    <t>5025 State St</t>
  </si>
  <si>
    <t>5100 South 2700 West</t>
  </si>
  <si>
    <t>5383 S 900 East #104</t>
  </si>
  <si>
    <t>600 E 900 South</t>
  </si>
  <si>
    <t>6351 South 900 East</t>
  </si>
  <si>
    <t>International Peace Gardens</t>
  </si>
  <si>
    <t>Sugar House Park</t>
  </si>
  <si>
    <t>Taylorsville-Bennion Heritage City Gov Off</t>
  </si>
  <si>
    <t>Salt Lake City Division of Health Services</t>
  </si>
  <si>
    <t>South Salt Lake Public Works</t>
  </si>
  <si>
    <t>Salt Lake City Streets and Sanitation</t>
  </si>
  <si>
    <t>Deker Lake</t>
  </si>
  <si>
    <t>Salt Lake City Ottinger Hall</t>
  </si>
  <si>
    <t>Wheeler Historic Farm</t>
  </si>
  <si>
    <t>Rice Terrace Pavilion Park</t>
  </si>
  <si>
    <t>City Center of Rock Springs</t>
  </si>
  <si>
    <t>Valley Regional Softball Complex</t>
  </si>
  <si>
    <t>Murray City Museum</t>
  </si>
  <si>
    <t>Holiday City Office</t>
  </si>
  <si>
    <t>Cottonwood Regional Softball Complex</t>
  </si>
  <si>
    <t>Third District Juvenile Court</t>
  </si>
  <si>
    <t>Utah DMV Administrative Office</t>
  </si>
  <si>
    <t>Housing Auth. of Salt Lake County</t>
  </si>
  <si>
    <t>West Valley Prosecutor</t>
  </si>
  <si>
    <t>Salt Lake County/United Police Dept</t>
  </si>
  <si>
    <t>Salt Lake County Mental Health</t>
  </si>
  <si>
    <t>Redwood Park</t>
  </si>
  <si>
    <t>Council Hall</t>
  </si>
  <si>
    <t>South Salt Lake Police</t>
  </si>
  <si>
    <t>Taylorsville City Hall</t>
  </si>
  <si>
    <t>Columbus Library</t>
  </si>
  <si>
    <t>AddressFrom</t>
  </si>
  <si>
    <t>AddressTo</t>
  </si>
  <si>
    <t>{</t>
  </si>
  <si>
    <t>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</si>
</sst>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6"/>
      <color theme="1"/>
      <name val="Baskerville Old Face"/>
      <family val="1"/>
    </font>
    <font>
      <i/>
      <sz val="12"/>
      <color theme="1"/>
      <name val="Baskerville Old Face"/>
      <family val="1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Alignment="1">
      <alignment vertical="center"/>
    </xf>
    <xf numFmtId="0" fontId="3" fillId="0" borderId="0" xfId="0" applyFont="1" applyAlignment="1"/>
    <xf numFmtId="0" fontId="3" fillId="0" borderId="0" xfId="0" applyFont="1"/>
    <xf numFmtId="164" fontId="3" fillId="0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0" fontId="0" fillId="0" borderId="0" xfId="0" applyAlignment="1"/>
    <xf numFmtId="0" fontId="2" fillId="0" borderId="0" xfId="0" applyFont="1" applyAlignment="1" applyProtection="1">
      <alignment horizontal="center" vertical="center" wrapText="1"/>
      <protection locked="0"/>
    </xf>
    <xf numFmtId="164" fontId="3" fillId="0" borderId="3" xfId="0" applyNumberFormat="1" applyFont="1" applyFill="1" applyBorder="1" applyAlignment="1">
      <alignment horizontal="center" vertical="center"/>
    </xf>
    <xf numFmtId="164" fontId="3" fillId="2" borderId="4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3" fillId="2" borderId="6" xfId="0" applyNumberFormat="1" applyFont="1" applyFill="1" applyBorder="1" applyAlignment="1">
      <alignment horizontal="center" vertical="center"/>
    </xf>
    <xf numFmtId="164" fontId="3" fillId="2" borderId="7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0" borderId="9" xfId="0" applyNumberFormat="1" applyFont="1" applyFill="1" applyBorder="1" applyAlignment="1">
      <alignment horizontal="center" vertical="center"/>
    </xf>
    <xf numFmtId="0" fontId="4" fillId="0" borderId="10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 textRotation="90" wrapText="1"/>
    </xf>
    <xf numFmtId="0" fontId="3" fillId="0" borderId="12" xfId="0" applyFont="1" applyBorder="1" applyAlignment="1">
      <alignment horizontal="left" vertical="center" textRotation="90" wrapText="1"/>
    </xf>
    <xf numFmtId="0" fontId="4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6" xfId="0" applyFont="1" applyBorder="1"/>
    <xf numFmtId="0" fontId="3" fillId="0" borderId="10" xfId="0" applyFont="1" applyBorder="1" applyAlignment="1">
      <alignment horizontal="left" vertical="center" textRotation="90" wrapText="1"/>
    </xf>
    <xf numFmtId="0" fontId="0" fillId="0" borderId="0" xfId="0" applyAlignment="1"/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3" fillId="0" borderId="0" xfId="0" applyFont="1" applyBorder="1" applyAlignment="1">
      <alignment horizontal="left" vertical="center" wrapText="1"/>
    </xf>
    <xf numFmtId="0" fontId="0" fillId="0" borderId="0" xfId="0" applyBorder="1"/>
    <xf numFmtId="0" fontId="0" fillId="0" borderId="17" xfId="0" applyBorder="1"/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/>
    <xf numFmtId="0" fontId="2" fillId="0" borderId="0" xfId="0" applyFont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883920</xdr:colOff>
      <xdr:row>0</xdr:row>
      <xdr:rowOff>60961</xdr:rowOff>
    </xdr:from>
    <xdr:to>
      <xdr:col>13</xdr:col>
      <xdr:colOff>190500</xdr:colOff>
      <xdr:row>2</xdr:row>
      <xdr:rowOff>115169</xdr:rowOff>
    </xdr:to>
    <xdr:pic>
      <xdr:nvPicPr>
        <xdr:cNvPr id="3" name="Picture 2" title="WGU 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5520" y="60961"/>
          <a:ext cx="4640580" cy="419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26670</xdr:colOff>
      <xdr:row>0</xdr:row>
      <xdr:rowOff>60961</xdr:rowOff>
    </xdr:from>
    <xdr:to>
      <xdr:col>19</xdr:col>
      <xdr:colOff>47625</xdr:colOff>
      <xdr:row>2</xdr:row>
      <xdr:rowOff>115169</xdr:rowOff>
    </xdr:to>
    <xdr:pic>
      <xdr:nvPicPr>
        <xdr:cNvPr id="2" name="Picture 1" title="WGU logo">
          <a:extLst>
            <a:ext uri="{FF2B5EF4-FFF2-40B4-BE49-F238E27FC236}">
              <a16:creationId xmlns:a16="http://schemas.microsoft.com/office/drawing/2014/main" id="{7D3E7571-F295-43F3-83DE-AF6993270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0270" y="60961"/>
          <a:ext cx="4307205" cy="416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5"/>
  <sheetViews>
    <sheetView topLeftCell="A25" zoomScaleNormal="100" workbookViewId="0">
      <selection activeCell="A9" sqref="A9"/>
    </sheetView>
  </sheetViews>
  <sheetFormatPr defaultColWidth="8.85546875" defaultRowHeight="15" x14ac:dyDescent="0.25"/>
  <cols>
    <col min="1" max="1" width="19.140625" style="3" customWidth="1"/>
    <col min="2" max="2" width="16.5703125" style="3" customWidth="1"/>
    <col min="3" max="3" width="5.5703125" bestFit="1" customWidth="1"/>
    <col min="4" max="29" width="5.28515625" bestFit="1" customWidth="1"/>
  </cols>
  <sheetData>
    <row r="1" spans="1:29" ht="14.45" customHeight="1" x14ac:dyDescent="0.25">
      <c r="A1" s="2"/>
      <c r="C1" s="31"/>
      <c r="D1" s="31"/>
      <c r="E1" s="31"/>
      <c r="F1" s="31"/>
      <c r="G1" s="31"/>
      <c r="H1" s="31"/>
      <c r="J1" s="1"/>
      <c r="K1" s="1"/>
      <c r="L1" s="1"/>
      <c r="M1" s="1"/>
    </row>
    <row r="2" spans="1:29" ht="14.45" customHeight="1" x14ac:dyDescent="0.25">
      <c r="A2" s="2"/>
      <c r="C2" s="31"/>
      <c r="D2" s="31"/>
      <c r="E2" s="31"/>
      <c r="F2" s="31"/>
      <c r="G2" s="31"/>
      <c r="H2" s="31"/>
      <c r="J2" s="1"/>
      <c r="K2" s="1"/>
      <c r="L2" s="1"/>
      <c r="M2" s="1"/>
    </row>
    <row r="3" spans="1:29" ht="14.45" customHeight="1" x14ac:dyDescent="0.25">
      <c r="A3" s="2"/>
      <c r="C3" s="31"/>
      <c r="D3" s="31"/>
      <c r="E3" s="31"/>
      <c r="F3" s="31"/>
      <c r="G3" s="31"/>
      <c r="H3" s="31"/>
      <c r="J3" s="1"/>
      <c r="K3" s="1"/>
      <c r="L3" s="1"/>
      <c r="M3" s="1"/>
    </row>
    <row r="4" spans="1:29" ht="15" customHeight="1" x14ac:dyDescent="0.25">
      <c r="B4" s="32" t="s">
        <v>0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9" ht="14.45" customHeight="1" x14ac:dyDescent="0.25">
      <c r="B5" s="32"/>
      <c r="C5" s="32"/>
      <c r="D5" s="32"/>
      <c r="E5" s="32"/>
      <c r="F5" s="32"/>
      <c r="G5" s="32"/>
      <c r="H5" s="32"/>
      <c r="I5" s="32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</row>
    <row r="6" spans="1:29" ht="15.6" customHeight="1" x14ac:dyDescent="0.25">
      <c r="C6" s="34" t="s">
        <v>1</v>
      </c>
      <c r="D6" s="34"/>
      <c r="E6" s="34"/>
      <c r="F6" s="34"/>
      <c r="G6" s="34"/>
      <c r="H6" s="34"/>
      <c r="I6" s="33"/>
      <c r="J6" s="33"/>
      <c r="K6" s="33"/>
      <c r="L6" s="33"/>
      <c r="M6" s="33"/>
      <c r="N6" s="33"/>
      <c r="O6" s="33"/>
      <c r="P6" s="33"/>
      <c r="Q6" s="33"/>
    </row>
    <row r="7" spans="1:29" ht="15.6" customHeight="1" thickBot="1" x14ac:dyDescent="0.3">
      <c r="C7" s="8"/>
      <c r="D7" s="8"/>
      <c r="E7" s="8"/>
      <c r="F7" s="8"/>
      <c r="G7" s="8"/>
      <c r="H7" s="8"/>
      <c r="I7" s="7"/>
      <c r="J7" s="7"/>
      <c r="K7" s="7"/>
      <c r="L7" s="7"/>
      <c r="M7" s="7"/>
      <c r="N7" s="7"/>
      <c r="O7" s="7"/>
      <c r="P7" s="7"/>
      <c r="Q7" s="7"/>
    </row>
    <row r="8" spans="1:29" ht="180.75" thickBot="1" x14ac:dyDescent="0.3">
      <c r="A8" s="16" t="s">
        <v>56</v>
      </c>
      <c r="B8" s="23"/>
      <c r="C8" s="24" t="s">
        <v>2</v>
      </c>
      <c r="D8" s="18" t="s">
        <v>4</v>
      </c>
      <c r="E8" s="18" t="s">
        <v>6</v>
      </c>
      <c r="F8" s="18" t="s">
        <v>8</v>
      </c>
      <c r="G8" s="18" t="s">
        <v>10</v>
      </c>
      <c r="H8" s="18" t="s">
        <v>12</v>
      </c>
      <c r="I8" s="18" t="s">
        <v>14</v>
      </c>
      <c r="J8" s="18" t="s">
        <v>16</v>
      </c>
      <c r="K8" s="18" t="s">
        <v>18</v>
      </c>
      <c r="L8" s="18" t="s">
        <v>20</v>
      </c>
      <c r="M8" s="18" t="s">
        <v>22</v>
      </c>
      <c r="N8" s="18" t="s">
        <v>24</v>
      </c>
      <c r="O8" s="18" t="s">
        <v>26</v>
      </c>
      <c r="P8" s="18" t="s">
        <v>28</v>
      </c>
      <c r="Q8" s="18" t="s">
        <v>30</v>
      </c>
      <c r="R8" s="18" t="s">
        <v>32</v>
      </c>
      <c r="S8" s="18" t="s">
        <v>34</v>
      </c>
      <c r="T8" s="18" t="s">
        <v>36</v>
      </c>
      <c r="U8" s="18" t="s">
        <v>38</v>
      </c>
      <c r="V8" s="18" t="s">
        <v>40</v>
      </c>
      <c r="W8" s="18" t="s">
        <v>42</v>
      </c>
      <c r="X8" s="18" t="s">
        <v>44</v>
      </c>
      <c r="Y8" s="18" t="s">
        <v>46</v>
      </c>
      <c r="Z8" s="18" t="s">
        <v>48</v>
      </c>
      <c r="AA8" s="18" t="s">
        <v>50</v>
      </c>
      <c r="AB8" s="18" t="s">
        <v>52</v>
      </c>
      <c r="AC8" s="19" t="s">
        <v>54</v>
      </c>
    </row>
    <row r="9" spans="1:29" ht="48" x14ac:dyDescent="0.25">
      <c r="A9" s="17" t="s">
        <v>2</v>
      </c>
      <c r="B9" s="20" t="s">
        <v>3</v>
      </c>
      <c r="C9" s="9">
        <v>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</row>
    <row r="10" spans="1:29" ht="23.65" customHeight="1" x14ac:dyDescent="0.25">
      <c r="A10" s="21" t="s">
        <v>4</v>
      </c>
      <c r="B10" s="21" t="s">
        <v>5</v>
      </c>
      <c r="C10" s="6">
        <v>7.2</v>
      </c>
      <c r="D10" s="4">
        <v>0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12"/>
    </row>
    <row r="11" spans="1:29" ht="23.65" customHeight="1" x14ac:dyDescent="0.25">
      <c r="A11" s="21" t="s">
        <v>6</v>
      </c>
      <c r="B11" s="21" t="s">
        <v>7</v>
      </c>
      <c r="C11" s="6">
        <v>3.8</v>
      </c>
      <c r="D11" s="5">
        <v>7.1</v>
      </c>
      <c r="E11" s="4">
        <v>0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12"/>
    </row>
    <row r="12" spans="1:29" ht="36" x14ac:dyDescent="0.25">
      <c r="A12" s="21" t="s">
        <v>8</v>
      </c>
      <c r="B12" s="21" t="s">
        <v>9</v>
      </c>
      <c r="C12" s="6">
        <v>11</v>
      </c>
      <c r="D12" s="5">
        <v>6.4</v>
      </c>
      <c r="E12" s="5">
        <v>9.1999999999999993</v>
      </c>
      <c r="F12" s="4">
        <v>0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12"/>
    </row>
    <row r="13" spans="1:29" ht="36" x14ac:dyDescent="0.25">
      <c r="A13" s="21" t="s">
        <v>10</v>
      </c>
      <c r="B13" s="21" t="s">
        <v>11</v>
      </c>
      <c r="C13" s="6">
        <v>2.2000000000000002</v>
      </c>
      <c r="D13" s="5">
        <v>6</v>
      </c>
      <c r="E13" s="5">
        <v>4.4000000000000004</v>
      </c>
      <c r="F13" s="5">
        <v>5.6</v>
      </c>
      <c r="G13" s="4">
        <v>0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12"/>
    </row>
    <row r="14" spans="1:29" ht="36" x14ac:dyDescent="0.25">
      <c r="A14" s="21" t="s">
        <v>12</v>
      </c>
      <c r="B14" s="21" t="s">
        <v>13</v>
      </c>
      <c r="C14" s="6">
        <v>3.5</v>
      </c>
      <c r="D14" s="5">
        <v>4.8</v>
      </c>
      <c r="E14" s="5">
        <v>2.8</v>
      </c>
      <c r="F14" s="5">
        <v>6.9</v>
      </c>
      <c r="G14" s="5">
        <v>1.9</v>
      </c>
      <c r="H14" s="4">
        <v>0</v>
      </c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12"/>
    </row>
    <row r="15" spans="1:29" ht="36" x14ac:dyDescent="0.25">
      <c r="A15" s="21" t="s">
        <v>14</v>
      </c>
      <c r="B15" s="21" t="s">
        <v>15</v>
      </c>
      <c r="C15" s="6">
        <v>10.9</v>
      </c>
      <c r="D15" s="5">
        <v>1.6</v>
      </c>
      <c r="E15" s="5">
        <v>8.6</v>
      </c>
      <c r="F15" s="5">
        <v>8.6</v>
      </c>
      <c r="G15" s="5">
        <v>7.9</v>
      </c>
      <c r="H15" s="5">
        <v>6.3</v>
      </c>
      <c r="I15" s="4">
        <v>0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12"/>
    </row>
    <row r="16" spans="1:29" ht="23.65" customHeight="1" x14ac:dyDescent="0.25">
      <c r="A16" s="21" t="s">
        <v>16</v>
      </c>
      <c r="B16" s="21" t="s">
        <v>17</v>
      </c>
      <c r="C16" s="6">
        <v>8.6</v>
      </c>
      <c r="D16" s="5">
        <v>2.8</v>
      </c>
      <c r="E16" s="5">
        <v>6.3</v>
      </c>
      <c r="F16" s="5">
        <v>4</v>
      </c>
      <c r="G16" s="5">
        <v>5.0999999999999996</v>
      </c>
      <c r="H16" s="5">
        <v>4.3</v>
      </c>
      <c r="I16" s="5">
        <v>4</v>
      </c>
      <c r="J16" s="4">
        <v>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12"/>
    </row>
    <row r="17" spans="1:29" ht="23.65" customHeight="1" x14ac:dyDescent="0.25">
      <c r="A17" s="21" t="s">
        <v>18</v>
      </c>
      <c r="B17" s="21" t="s">
        <v>19</v>
      </c>
      <c r="C17" s="6">
        <v>7.6</v>
      </c>
      <c r="D17" s="5">
        <v>4.8</v>
      </c>
      <c r="E17" s="5">
        <v>5.3</v>
      </c>
      <c r="F17" s="5">
        <v>11.1</v>
      </c>
      <c r="G17" s="5">
        <v>7.5</v>
      </c>
      <c r="H17" s="5">
        <v>4.5</v>
      </c>
      <c r="I17" s="5">
        <v>4.2</v>
      </c>
      <c r="J17" s="5">
        <v>7.7</v>
      </c>
      <c r="K17" s="4">
        <v>0</v>
      </c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12"/>
    </row>
    <row r="18" spans="1:29" ht="23.65" customHeight="1" x14ac:dyDescent="0.25">
      <c r="A18" s="21" t="s">
        <v>20</v>
      </c>
      <c r="B18" s="21" t="s">
        <v>21</v>
      </c>
      <c r="C18" s="6">
        <v>2.8</v>
      </c>
      <c r="D18" s="5">
        <v>6.3</v>
      </c>
      <c r="E18" s="5">
        <v>1.6</v>
      </c>
      <c r="F18" s="5">
        <v>7.3</v>
      </c>
      <c r="G18" s="5">
        <v>2.6</v>
      </c>
      <c r="H18" s="5">
        <v>1.5</v>
      </c>
      <c r="I18" s="5">
        <v>8</v>
      </c>
      <c r="J18" s="5">
        <v>9.3000000000000007</v>
      </c>
      <c r="K18" s="5">
        <v>4.8</v>
      </c>
      <c r="L18" s="4">
        <v>0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12"/>
    </row>
    <row r="19" spans="1:29" ht="23.65" customHeight="1" x14ac:dyDescent="0.25">
      <c r="A19" s="21" t="s">
        <v>22</v>
      </c>
      <c r="B19" s="21" t="s">
        <v>23</v>
      </c>
      <c r="C19" s="6">
        <v>6.4</v>
      </c>
      <c r="D19" s="5">
        <v>7.3</v>
      </c>
      <c r="E19" s="5">
        <v>10.4</v>
      </c>
      <c r="F19" s="5">
        <v>1</v>
      </c>
      <c r="G19" s="5">
        <v>6.5</v>
      </c>
      <c r="H19" s="5">
        <v>8.6999999999999993</v>
      </c>
      <c r="I19" s="5">
        <v>8.6</v>
      </c>
      <c r="J19" s="5">
        <v>4.5999999999999996</v>
      </c>
      <c r="K19" s="5">
        <v>11.9</v>
      </c>
      <c r="L19" s="5">
        <v>9.4</v>
      </c>
      <c r="M19" s="4">
        <v>0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12"/>
    </row>
    <row r="20" spans="1:29" ht="23.65" customHeight="1" x14ac:dyDescent="0.25">
      <c r="A20" s="21" t="s">
        <v>24</v>
      </c>
      <c r="B20" s="21" t="s">
        <v>25</v>
      </c>
      <c r="C20" s="6">
        <v>3.2</v>
      </c>
      <c r="D20" s="5">
        <v>5.3</v>
      </c>
      <c r="E20" s="5">
        <v>3</v>
      </c>
      <c r="F20" s="5">
        <v>6.4</v>
      </c>
      <c r="G20" s="5">
        <v>1.5</v>
      </c>
      <c r="H20" s="5">
        <v>0.8</v>
      </c>
      <c r="I20" s="5">
        <v>6.9</v>
      </c>
      <c r="J20" s="5">
        <v>4.8</v>
      </c>
      <c r="K20" s="5">
        <v>4.7</v>
      </c>
      <c r="L20" s="5">
        <v>1.1000000000000001</v>
      </c>
      <c r="M20" s="5">
        <v>7.3</v>
      </c>
      <c r="N20" s="4">
        <v>0</v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2"/>
    </row>
    <row r="21" spans="1:29" ht="23.65" customHeight="1" x14ac:dyDescent="0.25">
      <c r="A21" s="21" t="s">
        <v>26</v>
      </c>
      <c r="B21" s="21" t="s">
        <v>27</v>
      </c>
      <c r="C21" s="6">
        <v>7.6</v>
      </c>
      <c r="D21" s="5">
        <v>4.8</v>
      </c>
      <c r="E21" s="5">
        <v>5.3</v>
      </c>
      <c r="F21" s="5">
        <v>11.1</v>
      </c>
      <c r="G21" s="5">
        <v>7.5</v>
      </c>
      <c r="H21" s="5">
        <v>4.5</v>
      </c>
      <c r="I21" s="5">
        <v>4.2</v>
      </c>
      <c r="J21" s="5">
        <v>7.7</v>
      </c>
      <c r="K21" s="5">
        <v>0.6</v>
      </c>
      <c r="L21" s="5">
        <v>5.0999999999999996</v>
      </c>
      <c r="M21" s="5">
        <v>12</v>
      </c>
      <c r="N21" s="5">
        <v>4.7</v>
      </c>
      <c r="O21" s="4">
        <v>0</v>
      </c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12"/>
    </row>
    <row r="22" spans="1:29" ht="23.65" customHeight="1" x14ac:dyDescent="0.25">
      <c r="A22" s="21" t="s">
        <v>28</v>
      </c>
      <c r="B22" s="21" t="s">
        <v>29</v>
      </c>
      <c r="C22" s="6">
        <v>5.2</v>
      </c>
      <c r="D22" s="5">
        <v>3</v>
      </c>
      <c r="E22" s="5">
        <v>6.5</v>
      </c>
      <c r="F22" s="5">
        <v>3.9</v>
      </c>
      <c r="G22" s="5">
        <v>3.2</v>
      </c>
      <c r="H22" s="5">
        <v>3.9</v>
      </c>
      <c r="I22" s="5">
        <v>4.2</v>
      </c>
      <c r="J22" s="5">
        <v>1.6</v>
      </c>
      <c r="K22" s="5">
        <v>7.6</v>
      </c>
      <c r="L22" s="5">
        <v>4.5999999999999996</v>
      </c>
      <c r="M22" s="5">
        <v>4.9000000000000004</v>
      </c>
      <c r="N22" s="5">
        <v>3.5</v>
      </c>
      <c r="O22" s="5">
        <v>7.3</v>
      </c>
      <c r="P22" s="4">
        <v>0</v>
      </c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12"/>
    </row>
    <row r="23" spans="1:29" ht="36" customHeight="1" x14ac:dyDescent="0.25">
      <c r="A23" s="21" t="s">
        <v>30</v>
      </c>
      <c r="B23" s="21" t="s">
        <v>31</v>
      </c>
      <c r="C23" s="6">
        <v>4.4000000000000004</v>
      </c>
      <c r="D23" s="5">
        <v>4.5999999999999996</v>
      </c>
      <c r="E23" s="5">
        <v>5.6</v>
      </c>
      <c r="F23" s="5">
        <v>4.3</v>
      </c>
      <c r="G23" s="5">
        <v>2.4</v>
      </c>
      <c r="H23" s="5">
        <v>3</v>
      </c>
      <c r="I23" s="5">
        <v>8</v>
      </c>
      <c r="J23" s="5">
        <v>3.3</v>
      </c>
      <c r="K23" s="5">
        <v>7.8</v>
      </c>
      <c r="L23" s="5">
        <v>3.7</v>
      </c>
      <c r="M23" s="5">
        <v>5.2</v>
      </c>
      <c r="N23" s="5">
        <v>2.6</v>
      </c>
      <c r="O23" s="5">
        <v>7.8</v>
      </c>
      <c r="P23" s="5">
        <v>1.3</v>
      </c>
      <c r="Q23" s="4">
        <v>0</v>
      </c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12"/>
    </row>
    <row r="24" spans="1:29" ht="36" customHeight="1" x14ac:dyDescent="0.25">
      <c r="A24" s="21" t="s">
        <v>32</v>
      </c>
      <c r="B24" s="21" t="s">
        <v>33</v>
      </c>
      <c r="C24" s="6">
        <v>3.66112816434</v>
      </c>
      <c r="D24" s="5">
        <v>4.5</v>
      </c>
      <c r="E24" s="5">
        <v>5.8</v>
      </c>
      <c r="F24" s="5">
        <v>4.4000000000000004</v>
      </c>
      <c r="G24" s="5">
        <v>2.7</v>
      </c>
      <c r="H24" s="5">
        <v>3.8</v>
      </c>
      <c r="I24" s="5">
        <v>5.8</v>
      </c>
      <c r="J24" s="5">
        <v>3.4</v>
      </c>
      <c r="K24" s="5">
        <v>6.6</v>
      </c>
      <c r="L24" s="5">
        <v>4</v>
      </c>
      <c r="M24" s="5">
        <v>5.4</v>
      </c>
      <c r="N24" s="5">
        <v>2.9</v>
      </c>
      <c r="O24" s="5">
        <v>6.6</v>
      </c>
      <c r="P24" s="5">
        <v>1.5</v>
      </c>
      <c r="Q24" s="5">
        <v>0.6</v>
      </c>
      <c r="R24" s="4">
        <v>0</v>
      </c>
      <c r="S24" s="5"/>
      <c r="T24" s="5"/>
      <c r="U24" s="5"/>
      <c r="V24" s="5"/>
      <c r="W24" s="5"/>
      <c r="X24" s="5"/>
      <c r="Y24" s="5"/>
      <c r="Z24" s="5"/>
      <c r="AA24" s="5"/>
      <c r="AB24" s="5"/>
      <c r="AC24" s="12"/>
    </row>
    <row r="25" spans="1:29" ht="48" x14ac:dyDescent="0.25">
      <c r="A25" s="21" t="s">
        <v>34</v>
      </c>
      <c r="B25" s="21" t="s">
        <v>35</v>
      </c>
      <c r="C25" s="6">
        <v>7.6</v>
      </c>
      <c r="D25" s="5">
        <v>7.4</v>
      </c>
      <c r="E25" s="5">
        <v>5.7</v>
      </c>
      <c r="F25" s="5">
        <v>7.2</v>
      </c>
      <c r="G25" s="5">
        <v>1.4</v>
      </c>
      <c r="H25" s="5">
        <v>5.7</v>
      </c>
      <c r="I25" s="5">
        <v>7.2</v>
      </c>
      <c r="J25" s="5">
        <v>3.1</v>
      </c>
      <c r="K25" s="5">
        <v>7.2</v>
      </c>
      <c r="L25" s="5">
        <v>6.7</v>
      </c>
      <c r="M25" s="5">
        <v>8.1</v>
      </c>
      <c r="N25" s="5">
        <v>6.3</v>
      </c>
      <c r="O25" s="5">
        <v>7.2</v>
      </c>
      <c r="P25" s="5">
        <v>4</v>
      </c>
      <c r="Q25" s="5">
        <v>6.4</v>
      </c>
      <c r="R25" s="5">
        <v>5.6</v>
      </c>
      <c r="S25" s="4">
        <v>0</v>
      </c>
      <c r="T25" s="5"/>
      <c r="U25" s="5"/>
      <c r="V25" s="5"/>
      <c r="W25" s="5"/>
      <c r="X25" s="5"/>
      <c r="Y25" s="5"/>
      <c r="Z25" s="5"/>
      <c r="AA25" s="5"/>
      <c r="AB25" s="5"/>
      <c r="AC25" s="12"/>
    </row>
    <row r="26" spans="1:29" ht="36" x14ac:dyDescent="0.25">
      <c r="A26" s="21" t="s">
        <v>36</v>
      </c>
      <c r="B26" s="21" t="s">
        <v>37</v>
      </c>
      <c r="C26" s="6">
        <v>2</v>
      </c>
      <c r="D26" s="5">
        <v>6</v>
      </c>
      <c r="E26" s="5">
        <v>4.0999999999999996</v>
      </c>
      <c r="F26" s="5">
        <v>5.3</v>
      </c>
      <c r="G26" s="5">
        <v>0.5</v>
      </c>
      <c r="H26" s="5">
        <v>1.9</v>
      </c>
      <c r="I26" s="5">
        <v>7.7</v>
      </c>
      <c r="J26" s="5">
        <v>5.0999999999999996</v>
      </c>
      <c r="K26" s="5">
        <v>5.9</v>
      </c>
      <c r="L26" s="5">
        <v>2.2999999999999998</v>
      </c>
      <c r="M26" s="5">
        <v>6.2</v>
      </c>
      <c r="N26" s="5">
        <v>1.2</v>
      </c>
      <c r="O26" s="5">
        <v>5.9</v>
      </c>
      <c r="P26" s="5">
        <v>3.2</v>
      </c>
      <c r="Q26" s="5">
        <v>2.4</v>
      </c>
      <c r="R26" s="5">
        <v>1.6</v>
      </c>
      <c r="S26" s="5">
        <v>7.1</v>
      </c>
      <c r="T26" s="4">
        <v>0</v>
      </c>
      <c r="U26" s="5"/>
      <c r="V26" s="5"/>
      <c r="W26" s="5"/>
      <c r="X26" s="5"/>
      <c r="Y26" s="5"/>
      <c r="Z26" s="5"/>
      <c r="AA26" s="5"/>
      <c r="AB26" s="5"/>
      <c r="AC26" s="12"/>
    </row>
    <row r="27" spans="1:29" ht="36" x14ac:dyDescent="0.25">
      <c r="A27" s="21" t="s">
        <v>38</v>
      </c>
      <c r="B27" s="21" t="s">
        <v>39</v>
      </c>
      <c r="C27" s="6">
        <v>3.6</v>
      </c>
      <c r="D27" s="5">
        <v>5</v>
      </c>
      <c r="E27" s="5">
        <v>3.6</v>
      </c>
      <c r="F27" s="5">
        <v>6</v>
      </c>
      <c r="G27" s="5">
        <v>1.7</v>
      </c>
      <c r="H27" s="5">
        <v>1.1000000000000001</v>
      </c>
      <c r="I27" s="5">
        <v>6.6</v>
      </c>
      <c r="J27" s="5">
        <v>4.5999999999999996</v>
      </c>
      <c r="K27" s="5">
        <v>5.4</v>
      </c>
      <c r="L27" s="5">
        <v>1.8</v>
      </c>
      <c r="M27" s="5">
        <v>6.9</v>
      </c>
      <c r="N27" s="5">
        <v>1</v>
      </c>
      <c r="O27" s="5">
        <v>5.4</v>
      </c>
      <c r="P27" s="5">
        <v>3</v>
      </c>
      <c r="Q27" s="5">
        <v>2.2000000000000002</v>
      </c>
      <c r="R27" s="5">
        <v>1.7</v>
      </c>
      <c r="S27" s="5">
        <v>6.1</v>
      </c>
      <c r="T27" s="5">
        <v>1.6</v>
      </c>
      <c r="U27" s="4">
        <v>0</v>
      </c>
      <c r="V27" s="5"/>
      <c r="W27" s="5"/>
      <c r="X27" s="5"/>
      <c r="Y27" s="5"/>
      <c r="Z27" s="5"/>
      <c r="AA27" s="5"/>
      <c r="AB27" s="5"/>
      <c r="AC27" s="12"/>
    </row>
    <row r="28" spans="1:29" ht="23.65" customHeight="1" x14ac:dyDescent="0.25">
      <c r="A28" s="21" t="s">
        <v>40</v>
      </c>
      <c r="B28" s="21" t="s">
        <v>41</v>
      </c>
      <c r="C28" s="6">
        <v>6.5</v>
      </c>
      <c r="D28" s="5">
        <v>4.8</v>
      </c>
      <c r="E28" s="5">
        <v>4.3</v>
      </c>
      <c r="F28" s="5">
        <v>10.6</v>
      </c>
      <c r="G28" s="5">
        <v>6.5</v>
      </c>
      <c r="H28" s="5">
        <v>3.5</v>
      </c>
      <c r="I28" s="5">
        <v>3.2</v>
      </c>
      <c r="J28" s="5">
        <v>6.7</v>
      </c>
      <c r="K28" s="5">
        <v>1</v>
      </c>
      <c r="L28" s="5">
        <v>4.0999999999999996</v>
      </c>
      <c r="M28" s="5">
        <v>11.5</v>
      </c>
      <c r="N28" s="5">
        <v>3.7</v>
      </c>
      <c r="O28" s="5">
        <v>1</v>
      </c>
      <c r="P28" s="5">
        <v>6.9</v>
      </c>
      <c r="Q28" s="5">
        <v>6.8</v>
      </c>
      <c r="R28" s="5">
        <v>6.4</v>
      </c>
      <c r="S28" s="5">
        <v>7.2</v>
      </c>
      <c r="T28" s="5">
        <v>4.9000000000000004</v>
      </c>
      <c r="U28" s="5">
        <v>4.4000000000000004</v>
      </c>
      <c r="V28" s="4">
        <v>0</v>
      </c>
      <c r="W28" s="5"/>
      <c r="X28" s="5"/>
      <c r="Y28" s="5"/>
      <c r="Z28" s="5"/>
      <c r="AA28" s="5"/>
      <c r="AB28" s="5"/>
      <c r="AC28" s="12"/>
    </row>
    <row r="29" spans="1:29" ht="36" x14ac:dyDescent="0.25">
      <c r="A29" s="21" t="s">
        <v>42</v>
      </c>
      <c r="B29" s="21" t="s">
        <v>43</v>
      </c>
      <c r="C29" s="6">
        <v>1.9</v>
      </c>
      <c r="D29" s="5">
        <v>9.5</v>
      </c>
      <c r="E29" s="5">
        <v>3.3</v>
      </c>
      <c r="F29" s="5">
        <v>5.9</v>
      </c>
      <c r="G29" s="5">
        <v>3.2</v>
      </c>
      <c r="H29" s="5">
        <v>4.9000000000000004</v>
      </c>
      <c r="I29" s="5">
        <v>11.2</v>
      </c>
      <c r="J29" s="5">
        <v>8.1</v>
      </c>
      <c r="K29" s="5">
        <v>8.5</v>
      </c>
      <c r="L29" s="5">
        <v>3.8</v>
      </c>
      <c r="M29" s="5">
        <v>6.9</v>
      </c>
      <c r="N29" s="5">
        <v>4.0999999999999996</v>
      </c>
      <c r="O29" s="5">
        <v>8.5</v>
      </c>
      <c r="P29" s="5">
        <v>6.2</v>
      </c>
      <c r="Q29" s="5">
        <v>5.3</v>
      </c>
      <c r="R29" s="5">
        <v>4.9000000000000004</v>
      </c>
      <c r="S29" s="5">
        <v>10.6</v>
      </c>
      <c r="T29" s="5">
        <v>3</v>
      </c>
      <c r="U29" s="5">
        <v>4.5999999999999996</v>
      </c>
      <c r="V29" s="5">
        <v>7.5</v>
      </c>
      <c r="W29" s="4">
        <v>0</v>
      </c>
      <c r="X29" s="5"/>
      <c r="Y29" s="5"/>
      <c r="Z29" s="5"/>
      <c r="AA29" s="5"/>
      <c r="AB29" s="5"/>
      <c r="AC29" s="12"/>
    </row>
    <row r="30" spans="1:29" ht="23.65" customHeight="1" x14ac:dyDescent="0.25">
      <c r="A30" s="21" t="s">
        <v>44</v>
      </c>
      <c r="B30" s="21" t="s">
        <v>45</v>
      </c>
      <c r="C30" s="6">
        <v>3.4</v>
      </c>
      <c r="D30" s="5">
        <v>10.9</v>
      </c>
      <c r="E30" s="5">
        <v>5</v>
      </c>
      <c r="F30" s="5">
        <v>7.4</v>
      </c>
      <c r="G30" s="5">
        <v>5.2</v>
      </c>
      <c r="H30" s="5">
        <v>6.9</v>
      </c>
      <c r="I30" s="5">
        <v>12.7</v>
      </c>
      <c r="J30" s="5">
        <v>10.4</v>
      </c>
      <c r="K30" s="5">
        <v>10.3</v>
      </c>
      <c r="L30" s="5">
        <v>5.8</v>
      </c>
      <c r="M30" s="5">
        <v>8.3000000000000007</v>
      </c>
      <c r="N30" s="5">
        <v>6.2</v>
      </c>
      <c r="O30" s="5">
        <v>10.3</v>
      </c>
      <c r="P30" s="5">
        <v>8.1999999999999993</v>
      </c>
      <c r="Q30" s="5">
        <v>7.4</v>
      </c>
      <c r="R30" s="5">
        <v>6.9</v>
      </c>
      <c r="S30" s="5">
        <v>12</v>
      </c>
      <c r="T30" s="5">
        <v>5</v>
      </c>
      <c r="U30" s="5">
        <v>6.6</v>
      </c>
      <c r="V30" s="5">
        <v>9.3000000000000007</v>
      </c>
      <c r="W30" s="5">
        <v>2</v>
      </c>
      <c r="X30" s="4">
        <v>0</v>
      </c>
      <c r="Y30" s="5"/>
      <c r="Z30" s="5"/>
      <c r="AA30" s="5"/>
      <c r="AB30" s="5"/>
      <c r="AC30" s="12"/>
    </row>
    <row r="31" spans="1:29" ht="23.65" customHeight="1" x14ac:dyDescent="0.25">
      <c r="A31" s="21" t="s">
        <v>46</v>
      </c>
      <c r="B31" s="21" t="s">
        <v>47</v>
      </c>
      <c r="C31" s="6">
        <v>2.4</v>
      </c>
      <c r="D31" s="5">
        <v>8.3000000000000007</v>
      </c>
      <c r="E31" s="5">
        <v>6.1</v>
      </c>
      <c r="F31" s="5">
        <v>4.7</v>
      </c>
      <c r="G31" s="5">
        <v>2.5</v>
      </c>
      <c r="H31" s="5">
        <v>4.2</v>
      </c>
      <c r="I31" s="5">
        <v>10</v>
      </c>
      <c r="J31" s="5">
        <v>7.8</v>
      </c>
      <c r="K31" s="5">
        <v>7.8</v>
      </c>
      <c r="L31" s="5">
        <v>4.3</v>
      </c>
      <c r="M31" s="5">
        <v>4.0999999999999996</v>
      </c>
      <c r="N31" s="5">
        <v>3.4</v>
      </c>
      <c r="O31" s="5">
        <v>7.8</v>
      </c>
      <c r="P31" s="5">
        <v>5.5</v>
      </c>
      <c r="Q31" s="5">
        <v>4.5999999999999996</v>
      </c>
      <c r="R31" s="5">
        <v>4.2</v>
      </c>
      <c r="S31" s="5">
        <v>9.4</v>
      </c>
      <c r="T31" s="5">
        <v>2.2999999999999998</v>
      </c>
      <c r="U31" s="5">
        <v>3.9</v>
      </c>
      <c r="V31" s="5">
        <v>6.8</v>
      </c>
      <c r="W31" s="5">
        <v>2.9</v>
      </c>
      <c r="X31" s="5">
        <v>4.4000000000000004</v>
      </c>
      <c r="Y31" s="4">
        <v>0</v>
      </c>
      <c r="Z31" s="5"/>
      <c r="AA31" s="5"/>
      <c r="AB31" s="5"/>
      <c r="AC31" s="12"/>
    </row>
    <row r="32" spans="1:29" ht="36" x14ac:dyDescent="0.25">
      <c r="A32" s="21" t="s">
        <v>48</v>
      </c>
      <c r="B32" s="21" t="s">
        <v>49</v>
      </c>
      <c r="C32" s="6">
        <v>6.4</v>
      </c>
      <c r="D32" s="5">
        <v>6.9</v>
      </c>
      <c r="E32" s="5">
        <v>9.6999999999999993</v>
      </c>
      <c r="F32" s="5">
        <v>0.6</v>
      </c>
      <c r="G32" s="5">
        <v>6</v>
      </c>
      <c r="H32" s="5">
        <v>9</v>
      </c>
      <c r="I32" s="5">
        <v>8.1999999999999993</v>
      </c>
      <c r="J32" s="5">
        <v>4.2</v>
      </c>
      <c r="K32" s="5">
        <v>11.5</v>
      </c>
      <c r="L32" s="5">
        <v>7.8</v>
      </c>
      <c r="M32" s="5">
        <v>0.4</v>
      </c>
      <c r="N32" s="5">
        <v>6.9</v>
      </c>
      <c r="O32" s="5">
        <v>11.5</v>
      </c>
      <c r="P32" s="5">
        <v>4.4000000000000004</v>
      </c>
      <c r="Q32" s="5">
        <v>4.8</v>
      </c>
      <c r="R32" s="5">
        <v>5.6</v>
      </c>
      <c r="S32" s="5">
        <v>7.5</v>
      </c>
      <c r="T32" s="5">
        <v>5.5</v>
      </c>
      <c r="U32" s="5">
        <v>6.5</v>
      </c>
      <c r="V32" s="5">
        <v>11.4</v>
      </c>
      <c r="W32" s="5">
        <v>6.4</v>
      </c>
      <c r="X32" s="5">
        <v>7.9</v>
      </c>
      <c r="Y32" s="5">
        <v>4.5</v>
      </c>
      <c r="Z32" s="4">
        <v>0</v>
      </c>
      <c r="AA32" s="5"/>
      <c r="AB32" s="5"/>
      <c r="AC32" s="12"/>
    </row>
    <row r="33" spans="1:29" ht="23.65" customHeight="1" x14ac:dyDescent="0.25">
      <c r="A33" s="21" t="s">
        <v>50</v>
      </c>
      <c r="B33" s="21" t="s">
        <v>51</v>
      </c>
      <c r="C33" s="6">
        <v>2.4</v>
      </c>
      <c r="D33" s="5">
        <v>10</v>
      </c>
      <c r="E33" s="5">
        <v>6.1</v>
      </c>
      <c r="F33" s="5">
        <v>6.4</v>
      </c>
      <c r="G33" s="5">
        <v>4.2</v>
      </c>
      <c r="H33" s="5">
        <v>5.9</v>
      </c>
      <c r="I33" s="5">
        <v>11.7</v>
      </c>
      <c r="J33" s="5">
        <v>9.5</v>
      </c>
      <c r="K33" s="5">
        <v>9.5</v>
      </c>
      <c r="L33" s="5">
        <v>4.8</v>
      </c>
      <c r="M33" s="5">
        <v>4.9000000000000004</v>
      </c>
      <c r="N33" s="5">
        <v>5.2</v>
      </c>
      <c r="O33" s="5">
        <v>9.5</v>
      </c>
      <c r="P33" s="5">
        <v>7.2</v>
      </c>
      <c r="Q33" s="5">
        <v>6.3</v>
      </c>
      <c r="R33" s="5">
        <v>5.9</v>
      </c>
      <c r="S33" s="5">
        <v>11.1</v>
      </c>
      <c r="T33" s="5">
        <v>4</v>
      </c>
      <c r="U33" s="5">
        <v>5.6</v>
      </c>
      <c r="V33" s="5">
        <v>8.5</v>
      </c>
      <c r="W33" s="5">
        <v>2.8</v>
      </c>
      <c r="X33" s="5">
        <v>3.4</v>
      </c>
      <c r="Y33" s="5">
        <v>1.7</v>
      </c>
      <c r="Z33" s="5">
        <v>5.4</v>
      </c>
      <c r="AA33" s="4">
        <v>0</v>
      </c>
      <c r="AB33" s="5"/>
      <c r="AC33" s="12"/>
    </row>
    <row r="34" spans="1:29" ht="36" x14ac:dyDescent="0.25">
      <c r="A34" s="21" t="s">
        <v>52</v>
      </c>
      <c r="B34" s="21" t="s">
        <v>53</v>
      </c>
      <c r="C34" s="6">
        <v>5</v>
      </c>
      <c r="D34" s="5">
        <v>4.4000000000000004</v>
      </c>
      <c r="E34" s="5">
        <v>2.8</v>
      </c>
      <c r="F34" s="5">
        <v>10.1</v>
      </c>
      <c r="G34" s="5">
        <v>5.4</v>
      </c>
      <c r="H34" s="5">
        <v>3.5</v>
      </c>
      <c r="I34" s="5">
        <v>5.0999999999999996</v>
      </c>
      <c r="J34" s="5">
        <v>6.2</v>
      </c>
      <c r="K34" s="5">
        <v>2.8</v>
      </c>
      <c r="L34" s="5">
        <v>3.2</v>
      </c>
      <c r="M34" s="5">
        <v>11</v>
      </c>
      <c r="N34" s="5">
        <v>3.7</v>
      </c>
      <c r="O34" s="5">
        <v>2.8</v>
      </c>
      <c r="P34" s="5">
        <v>6.4</v>
      </c>
      <c r="Q34" s="5">
        <v>6.5</v>
      </c>
      <c r="R34" s="5">
        <v>5.7</v>
      </c>
      <c r="S34" s="5">
        <v>6.2</v>
      </c>
      <c r="T34" s="5">
        <v>5.0999999999999996</v>
      </c>
      <c r="U34" s="5">
        <v>4.3</v>
      </c>
      <c r="V34" s="5">
        <v>1.8</v>
      </c>
      <c r="W34" s="5">
        <v>6</v>
      </c>
      <c r="X34" s="5">
        <v>7.9</v>
      </c>
      <c r="Y34" s="5">
        <v>6.8</v>
      </c>
      <c r="Z34" s="5">
        <v>10.6</v>
      </c>
      <c r="AA34" s="5">
        <v>7</v>
      </c>
      <c r="AB34" s="4">
        <v>0</v>
      </c>
      <c r="AC34" s="12"/>
    </row>
    <row r="35" spans="1:29" ht="23.65" customHeight="1" thickBot="1" x14ac:dyDescent="0.3">
      <c r="A35" s="22" t="s">
        <v>54</v>
      </c>
      <c r="B35" s="22" t="s">
        <v>55</v>
      </c>
      <c r="C35" s="13">
        <v>3.6</v>
      </c>
      <c r="D35" s="14">
        <v>13</v>
      </c>
      <c r="E35" s="14">
        <v>7.4</v>
      </c>
      <c r="F35" s="14">
        <v>10.1</v>
      </c>
      <c r="G35" s="14">
        <v>5.5</v>
      </c>
      <c r="H35" s="14">
        <v>7.2</v>
      </c>
      <c r="I35" s="14">
        <v>14.2</v>
      </c>
      <c r="J35" s="14">
        <v>10.7</v>
      </c>
      <c r="K35" s="14">
        <v>14.1</v>
      </c>
      <c r="L35" s="14">
        <v>6</v>
      </c>
      <c r="M35" s="14">
        <v>6.8</v>
      </c>
      <c r="N35" s="14">
        <v>6.4</v>
      </c>
      <c r="O35" s="14">
        <v>14.1</v>
      </c>
      <c r="P35" s="14">
        <v>10.5</v>
      </c>
      <c r="Q35" s="14">
        <v>8.8000000000000007</v>
      </c>
      <c r="R35" s="14">
        <v>8.4</v>
      </c>
      <c r="S35" s="14">
        <v>13.6</v>
      </c>
      <c r="T35" s="14">
        <v>5.2</v>
      </c>
      <c r="U35" s="14">
        <v>6.9</v>
      </c>
      <c r="V35" s="14">
        <v>13.1</v>
      </c>
      <c r="W35" s="14">
        <v>4.0999999999999996</v>
      </c>
      <c r="X35" s="14">
        <v>4.7</v>
      </c>
      <c r="Y35" s="14">
        <v>3.1</v>
      </c>
      <c r="Z35" s="14">
        <v>7.8</v>
      </c>
      <c r="AA35" s="14">
        <v>1.3</v>
      </c>
      <c r="AB35" s="14">
        <v>8.3000000000000007</v>
      </c>
      <c r="AC35" s="15">
        <v>0</v>
      </c>
    </row>
  </sheetData>
  <mergeCells count="3">
    <mergeCell ref="C1:H3"/>
    <mergeCell ref="B4:W5"/>
    <mergeCell ref="C6:Q6"/>
  </mergeCells>
  <pageMargins left="0.25" right="0.25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0D056-6279-4DFD-81DC-170D3F4D3FF8}">
  <sheetPr codeName="Sheet2"/>
  <dimension ref="A1:AB35"/>
  <sheetViews>
    <sheetView topLeftCell="A7" zoomScaleNormal="100" workbookViewId="0">
      <selection activeCell="B24" sqref="B24"/>
    </sheetView>
  </sheetViews>
  <sheetFormatPr defaultColWidth="8.85546875" defaultRowHeight="15" x14ac:dyDescent="0.25"/>
  <cols>
    <col min="1" max="1" width="19.140625" style="3" customWidth="1"/>
    <col min="2" max="28" width="4.28515625" customWidth="1"/>
  </cols>
  <sheetData>
    <row r="1" spans="1:28" ht="14.45" customHeight="1" x14ac:dyDescent="0.25">
      <c r="A1" s="2"/>
      <c r="B1" s="31"/>
      <c r="C1" s="31"/>
      <c r="D1" s="31"/>
      <c r="E1" s="31"/>
      <c r="F1" s="31"/>
      <c r="G1" s="31"/>
      <c r="I1" s="1"/>
      <c r="J1" s="1"/>
      <c r="K1" s="1"/>
      <c r="L1" s="1"/>
    </row>
    <row r="2" spans="1:28" ht="14.45" customHeight="1" x14ac:dyDescent="0.25">
      <c r="A2" s="2"/>
      <c r="B2" s="31"/>
      <c r="C2" s="31"/>
      <c r="D2" s="31"/>
      <c r="E2" s="31"/>
      <c r="F2" s="31"/>
      <c r="G2" s="31"/>
      <c r="I2" s="1"/>
      <c r="J2" s="1"/>
      <c r="K2" s="1"/>
      <c r="L2" s="1"/>
    </row>
    <row r="3" spans="1:28" ht="14.45" customHeight="1" x14ac:dyDescent="0.25">
      <c r="A3" s="2"/>
      <c r="B3" s="31"/>
      <c r="C3" s="31"/>
      <c r="D3" s="31"/>
      <c r="E3" s="31"/>
      <c r="F3" s="31"/>
      <c r="G3" s="31"/>
      <c r="I3" s="1"/>
      <c r="J3" s="1"/>
      <c r="K3" s="1"/>
      <c r="L3" s="1"/>
    </row>
    <row r="4" spans="1:28" ht="15" customHeight="1" x14ac:dyDescent="0.25">
      <c r="B4" s="32"/>
      <c r="C4" s="32"/>
      <c r="D4" s="32"/>
      <c r="E4" s="32"/>
      <c r="F4" s="32"/>
      <c r="G4" s="32"/>
      <c r="H4" s="32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8" ht="14.45" customHeight="1" x14ac:dyDescent="0.25">
      <c r="B5" s="32"/>
      <c r="C5" s="32"/>
      <c r="D5" s="32"/>
      <c r="E5" s="32"/>
      <c r="F5" s="32"/>
      <c r="G5" s="32"/>
      <c r="H5" s="32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1:28" ht="15.6" customHeight="1" x14ac:dyDescent="0.25">
      <c r="B6" s="34" t="s">
        <v>1</v>
      </c>
      <c r="C6" s="34"/>
      <c r="D6" s="34"/>
      <c r="E6" s="34"/>
      <c r="F6" s="34"/>
      <c r="G6" s="34"/>
      <c r="H6" s="33"/>
      <c r="I6" s="33"/>
      <c r="J6" s="33"/>
      <c r="K6" s="33"/>
      <c r="L6" s="33"/>
      <c r="M6" s="33"/>
      <c r="N6" s="33"/>
      <c r="O6" s="33"/>
      <c r="P6" s="33"/>
    </row>
    <row r="7" spans="1:28" ht="15.6" customHeight="1" thickBot="1" x14ac:dyDescent="0.3">
      <c r="B7" s="26"/>
      <c r="C7" s="26"/>
      <c r="D7" s="26"/>
      <c r="E7" s="26"/>
      <c r="F7" s="26"/>
      <c r="G7" s="26"/>
      <c r="H7" s="25"/>
      <c r="I7" s="25"/>
      <c r="J7" s="25"/>
      <c r="K7" s="25"/>
      <c r="L7" s="25"/>
      <c r="M7" s="25"/>
      <c r="N7" s="25"/>
      <c r="O7" s="25"/>
      <c r="P7" s="25"/>
    </row>
    <row r="8" spans="1:28" ht="24.75" thickBot="1" x14ac:dyDescent="0.3">
      <c r="A8" s="16" t="s">
        <v>56</v>
      </c>
      <c r="B8" s="24">
        <v>0</v>
      </c>
      <c r="C8" s="18">
        <v>1</v>
      </c>
      <c r="D8" s="18">
        <v>2</v>
      </c>
      <c r="E8" s="18">
        <v>3</v>
      </c>
      <c r="F8" s="18">
        <v>4</v>
      </c>
      <c r="G8" s="18">
        <v>5</v>
      </c>
      <c r="H8" s="18">
        <v>6</v>
      </c>
      <c r="I8" s="18">
        <v>7</v>
      </c>
      <c r="J8" s="18">
        <v>8</v>
      </c>
      <c r="K8" s="18">
        <v>9</v>
      </c>
      <c r="L8" s="18">
        <v>10</v>
      </c>
      <c r="M8" s="18">
        <v>11</v>
      </c>
      <c r="N8" s="18">
        <v>12</v>
      </c>
      <c r="O8" s="18">
        <v>13</v>
      </c>
      <c r="P8" s="18">
        <v>14</v>
      </c>
      <c r="Q8" s="18">
        <v>15</v>
      </c>
      <c r="R8" s="18">
        <v>16</v>
      </c>
      <c r="S8" s="18">
        <v>17</v>
      </c>
      <c r="T8" s="18">
        <v>18</v>
      </c>
      <c r="U8" s="18">
        <v>19</v>
      </c>
      <c r="V8" s="18">
        <v>20</v>
      </c>
      <c r="W8" s="18">
        <v>21</v>
      </c>
      <c r="X8" s="18">
        <v>22</v>
      </c>
      <c r="Y8" s="18">
        <v>23</v>
      </c>
      <c r="Z8" s="18">
        <v>24</v>
      </c>
      <c r="AA8" s="18">
        <v>25</v>
      </c>
      <c r="AB8" s="19">
        <v>26</v>
      </c>
    </row>
    <row r="9" spans="1:28" ht="21" customHeight="1" x14ac:dyDescent="0.25">
      <c r="A9" s="17">
        <v>0</v>
      </c>
      <c r="B9" s="9">
        <v>0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1"/>
    </row>
    <row r="10" spans="1:28" ht="21" customHeight="1" x14ac:dyDescent="0.25">
      <c r="A10" s="21">
        <v>1</v>
      </c>
      <c r="B10" s="6">
        <v>7.2</v>
      </c>
      <c r="C10" s="4"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12"/>
    </row>
    <row r="11" spans="1:28" ht="21" customHeight="1" x14ac:dyDescent="0.25">
      <c r="A11" s="21">
        <v>2</v>
      </c>
      <c r="B11" s="6">
        <v>3.8</v>
      </c>
      <c r="C11" s="5">
        <v>7.1</v>
      </c>
      <c r="D11" s="4"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12"/>
    </row>
    <row r="12" spans="1:28" ht="21" customHeight="1" x14ac:dyDescent="0.25">
      <c r="A12" s="21">
        <v>3</v>
      </c>
      <c r="B12" s="6">
        <v>11</v>
      </c>
      <c r="C12" s="5">
        <v>6.4</v>
      </c>
      <c r="D12" s="5">
        <v>9.1999999999999993</v>
      </c>
      <c r="E12" s="4">
        <v>0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12"/>
    </row>
    <row r="13" spans="1:28" ht="21" customHeight="1" x14ac:dyDescent="0.25">
      <c r="A13" s="21">
        <v>4</v>
      </c>
      <c r="B13" s="6">
        <v>2.2000000000000002</v>
      </c>
      <c r="C13" s="5">
        <v>6</v>
      </c>
      <c r="D13" s="5">
        <v>4.4000000000000004</v>
      </c>
      <c r="E13" s="5">
        <v>5.6</v>
      </c>
      <c r="F13" s="4">
        <v>0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12"/>
    </row>
    <row r="14" spans="1:28" ht="21" customHeight="1" x14ac:dyDescent="0.25">
      <c r="A14" s="21">
        <v>5</v>
      </c>
      <c r="B14" s="6">
        <v>3.5</v>
      </c>
      <c r="C14" s="5">
        <v>4.8</v>
      </c>
      <c r="D14" s="5">
        <v>2.8</v>
      </c>
      <c r="E14" s="5">
        <v>6.9</v>
      </c>
      <c r="F14" s="5">
        <v>1.9</v>
      </c>
      <c r="G14" s="4">
        <v>0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12"/>
    </row>
    <row r="15" spans="1:28" ht="21" customHeight="1" x14ac:dyDescent="0.25">
      <c r="A15" s="21">
        <v>6</v>
      </c>
      <c r="B15" s="6">
        <v>10.9</v>
      </c>
      <c r="C15" s="5">
        <v>1.6</v>
      </c>
      <c r="D15" s="5">
        <v>8.6</v>
      </c>
      <c r="E15" s="5">
        <v>8.6</v>
      </c>
      <c r="F15" s="5">
        <v>7.9</v>
      </c>
      <c r="G15" s="5">
        <v>6.3</v>
      </c>
      <c r="H15" s="4">
        <v>0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12"/>
    </row>
    <row r="16" spans="1:28" ht="21" customHeight="1" x14ac:dyDescent="0.25">
      <c r="A16" s="21">
        <v>7</v>
      </c>
      <c r="B16" s="6">
        <v>8.6</v>
      </c>
      <c r="C16" s="5">
        <v>2.8</v>
      </c>
      <c r="D16" s="5">
        <v>6.3</v>
      </c>
      <c r="E16" s="5">
        <v>4</v>
      </c>
      <c r="F16" s="5">
        <v>5.0999999999999996</v>
      </c>
      <c r="G16" s="5">
        <v>4.3</v>
      </c>
      <c r="H16" s="5">
        <v>4</v>
      </c>
      <c r="I16" s="4">
        <v>0</v>
      </c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12"/>
    </row>
    <row r="17" spans="1:28" ht="21" customHeight="1" x14ac:dyDescent="0.25">
      <c r="A17" s="21">
        <v>8</v>
      </c>
      <c r="B17" s="6">
        <v>7.6</v>
      </c>
      <c r="C17" s="5">
        <v>4.8</v>
      </c>
      <c r="D17" s="5">
        <v>5.3</v>
      </c>
      <c r="E17" s="5">
        <v>11.1</v>
      </c>
      <c r="F17" s="5">
        <v>7.5</v>
      </c>
      <c r="G17" s="5">
        <v>4.5</v>
      </c>
      <c r="H17" s="5">
        <v>4.2</v>
      </c>
      <c r="I17" s="5">
        <v>7.7</v>
      </c>
      <c r="J17" s="4">
        <v>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12"/>
    </row>
    <row r="18" spans="1:28" ht="21" customHeight="1" x14ac:dyDescent="0.25">
      <c r="A18" s="21">
        <v>9</v>
      </c>
      <c r="B18" s="6">
        <v>2.8</v>
      </c>
      <c r="C18" s="5">
        <v>6.3</v>
      </c>
      <c r="D18" s="5">
        <v>1.6</v>
      </c>
      <c r="E18" s="5">
        <v>7.3</v>
      </c>
      <c r="F18" s="5">
        <v>2.6</v>
      </c>
      <c r="G18" s="5">
        <v>1.5</v>
      </c>
      <c r="H18" s="5">
        <v>8</v>
      </c>
      <c r="I18" s="5">
        <v>9.3000000000000007</v>
      </c>
      <c r="J18" s="5">
        <v>4.8</v>
      </c>
      <c r="K18" s="4">
        <v>0</v>
      </c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12"/>
    </row>
    <row r="19" spans="1:28" ht="21" customHeight="1" x14ac:dyDescent="0.25">
      <c r="A19" s="21">
        <v>10</v>
      </c>
      <c r="B19" s="6">
        <v>6.4</v>
      </c>
      <c r="C19" s="5">
        <v>7.3</v>
      </c>
      <c r="D19" s="5">
        <v>10.4</v>
      </c>
      <c r="E19" s="5">
        <v>1</v>
      </c>
      <c r="F19" s="5">
        <v>6.5</v>
      </c>
      <c r="G19" s="5">
        <v>8.6999999999999993</v>
      </c>
      <c r="H19" s="5">
        <v>8.6</v>
      </c>
      <c r="I19" s="5">
        <v>4.5999999999999996</v>
      </c>
      <c r="J19" s="5">
        <v>11.9</v>
      </c>
      <c r="K19" s="5">
        <v>9.4</v>
      </c>
      <c r="L19" s="4">
        <v>0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12"/>
    </row>
    <row r="20" spans="1:28" ht="21" customHeight="1" x14ac:dyDescent="0.25">
      <c r="A20" s="21">
        <v>11</v>
      </c>
      <c r="B20" s="6">
        <v>3.2</v>
      </c>
      <c r="C20" s="5">
        <v>5.3</v>
      </c>
      <c r="D20" s="5">
        <v>3</v>
      </c>
      <c r="E20" s="5">
        <v>6.4</v>
      </c>
      <c r="F20" s="5">
        <v>1.5</v>
      </c>
      <c r="G20" s="5">
        <v>0.8</v>
      </c>
      <c r="H20" s="5">
        <v>6.9</v>
      </c>
      <c r="I20" s="5">
        <v>4.8</v>
      </c>
      <c r="J20" s="5">
        <v>4.7</v>
      </c>
      <c r="K20" s="5">
        <v>1.1000000000000001</v>
      </c>
      <c r="L20" s="5">
        <v>7.3</v>
      </c>
      <c r="M20" s="4">
        <v>0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12"/>
    </row>
    <row r="21" spans="1:28" ht="21" customHeight="1" x14ac:dyDescent="0.25">
      <c r="A21" s="21">
        <v>12</v>
      </c>
      <c r="B21" s="6">
        <v>7.6</v>
      </c>
      <c r="C21" s="5">
        <v>4.8</v>
      </c>
      <c r="D21" s="5">
        <v>5.3</v>
      </c>
      <c r="E21" s="5">
        <v>11.1</v>
      </c>
      <c r="F21" s="5">
        <v>7.5</v>
      </c>
      <c r="G21" s="5">
        <v>4.5</v>
      </c>
      <c r="H21" s="5">
        <v>4.2</v>
      </c>
      <c r="I21" s="5">
        <v>7.7</v>
      </c>
      <c r="J21" s="5">
        <v>0.6</v>
      </c>
      <c r="K21" s="5">
        <v>5.0999999999999996</v>
      </c>
      <c r="L21" s="5">
        <v>12</v>
      </c>
      <c r="M21" s="5">
        <v>4.7</v>
      </c>
      <c r="N21" s="4">
        <v>0</v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12"/>
    </row>
    <row r="22" spans="1:28" ht="21" customHeight="1" x14ac:dyDescent="0.25">
      <c r="A22" s="21">
        <v>13</v>
      </c>
      <c r="B22" s="6">
        <v>5.2</v>
      </c>
      <c r="C22" s="5">
        <v>3</v>
      </c>
      <c r="D22" s="5">
        <v>6.5</v>
      </c>
      <c r="E22" s="5">
        <v>3.9</v>
      </c>
      <c r="F22" s="5">
        <v>3.2</v>
      </c>
      <c r="G22" s="5">
        <v>3.9</v>
      </c>
      <c r="H22" s="5">
        <v>4.2</v>
      </c>
      <c r="I22" s="5">
        <v>1.6</v>
      </c>
      <c r="J22" s="5">
        <v>7.6</v>
      </c>
      <c r="K22" s="5">
        <v>4.5999999999999996</v>
      </c>
      <c r="L22" s="5">
        <v>4.9000000000000004</v>
      </c>
      <c r="M22" s="5">
        <v>3.5</v>
      </c>
      <c r="N22" s="5">
        <v>7.3</v>
      </c>
      <c r="O22" s="4">
        <v>0</v>
      </c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12"/>
    </row>
    <row r="23" spans="1:28" ht="21" customHeight="1" x14ac:dyDescent="0.25">
      <c r="A23" s="21">
        <v>14</v>
      </c>
      <c r="B23" s="6">
        <v>4.4000000000000004</v>
      </c>
      <c r="C23" s="5">
        <v>4.5999999999999996</v>
      </c>
      <c r="D23" s="5">
        <v>5.6</v>
      </c>
      <c r="E23" s="5">
        <v>4.3</v>
      </c>
      <c r="F23" s="5">
        <v>2.4</v>
      </c>
      <c r="G23" s="5">
        <v>3</v>
      </c>
      <c r="H23" s="5">
        <v>8</v>
      </c>
      <c r="I23" s="5">
        <v>3.3</v>
      </c>
      <c r="J23" s="5">
        <v>7.8</v>
      </c>
      <c r="K23" s="5">
        <v>3.7</v>
      </c>
      <c r="L23" s="5">
        <v>5.2</v>
      </c>
      <c r="M23" s="5">
        <v>2.6</v>
      </c>
      <c r="N23" s="5">
        <v>7.8</v>
      </c>
      <c r="O23" s="5">
        <v>1.3</v>
      </c>
      <c r="P23" s="4">
        <v>0</v>
      </c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12"/>
    </row>
    <row r="24" spans="1:28" ht="21" customHeight="1" x14ac:dyDescent="0.25">
      <c r="A24" s="21">
        <v>15</v>
      </c>
      <c r="B24" s="6">
        <v>3.66112816434</v>
      </c>
      <c r="C24" s="5">
        <v>4.5</v>
      </c>
      <c r="D24" s="5">
        <v>5.8</v>
      </c>
      <c r="E24" s="5">
        <v>4.4000000000000004</v>
      </c>
      <c r="F24" s="5">
        <v>2.7</v>
      </c>
      <c r="G24" s="5">
        <v>3.8</v>
      </c>
      <c r="H24" s="5">
        <v>5.8</v>
      </c>
      <c r="I24" s="5">
        <v>3.4</v>
      </c>
      <c r="J24" s="5">
        <v>6.6</v>
      </c>
      <c r="K24" s="5">
        <v>4</v>
      </c>
      <c r="L24" s="5">
        <v>5.4</v>
      </c>
      <c r="M24" s="5">
        <v>2.9</v>
      </c>
      <c r="N24" s="5">
        <v>6.6</v>
      </c>
      <c r="O24" s="5">
        <v>1.5</v>
      </c>
      <c r="P24" s="5">
        <v>0.6</v>
      </c>
      <c r="Q24" s="4">
        <v>0</v>
      </c>
      <c r="R24" s="5"/>
      <c r="S24" s="5"/>
      <c r="T24" s="5"/>
      <c r="U24" s="5"/>
      <c r="V24" s="5"/>
      <c r="W24" s="5"/>
      <c r="X24" s="5"/>
      <c r="Y24" s="5"/>
      <c r="Z24" s="5"/>
      <c r="AA24" s="5"/>
      <c r="AB24" s="12"/>
    </row>
    <row r="25" spans="1:28" ht="21" customHeight="1" x14ac:dyDescent="0.25">
      <c r="A25" s="21">
        <v>16</v>
      </c>
      <c r="B25" s="6">
        <v>7.6</v>
      </c>
      <c r="C25" s="5">
        <v>7.4</v>
      </c>
      <c r="D25" s="5">
        <v>5.7</v>
      </c>
      <c r="E25" s="5">
        <v>7.2</v>
      </c>
      <c r="F25" s="5">
        <v>1.4</v>
      </c>
      <c r="G25" s="5">
        <v>5.7</v>
      </c>
      <c r="H25" s="5">
        <v>7.2</v>
      </c>
      <c r="I25" s="5">
        <v>3.1</v>
      </c>
      <c r="J25" s="5">
        <v>7.2</v>
      </c>
      <c r="K25" s="5">
        <v>6.7</v>
      </c>
      <c r="L25" s="5">
        <v>8.1</v>
      </c>
      <c r="M25" s="5">
        <v>6.3</v>
      </c>
      <c r="N25" s="5">
        <v>7.2</v>
      </c>
      <c r="O25" s="5">
        <v>4</v>
      </c>
      <c r="P25" s="5">
        <v>6.4</v>
      </c>
      <c r="Q25" s="5">
        <v>5.6</v>
      </c>
      <c r="R25" s="4">
        <v>0</v>
      </c>
      <c r="S25" s="5"/>
      <c r="T25" s="5"/>
      <c r="U25" s="5"/>
      <c r="V25" s="5"/>
      <c r="W25" s="5"/>
      <c r="X25" s="5"/>
      <c r="Y25" s="5"/>
      <c r="Z25" s="5"/>
      <c r="AA25" s="5"/>
      <c r="AB25" s="12"/>
    </row>
    <row r="26" spans="1:28" ht="21" customHeight="1" x14ac:dyDescent="0.25">
      <c r="A26" s="21">
        <v>17</v>
      </c>
      <c r="B26" s="6">
        <v>2</v>
      </c>
      <c r="C26" s="5">
        <v>6</v>
      </c>
      <c r="D26" s="5">
        <v>4.0999999999999996</v>
      </c>
      <c r="E26" s="5">
        <v>5.3</v>
      </c>
      <c r="F26" s="5">
        <v>0.5</v>
      </c>
      <c r="G26" s="5">
        <v>1.9</v>
      </c>
      <c r="H26" s="5">
        <v>7.7</v>
      </c>
      <c r="I26" s="5">
        <v>5.0999999999999996</v>
      </c>
      <c r="J26" s="5">
        <v>5.9</v>
      </c>
      <c r="K26" s="5">
        <v>2.2999999999999998</v>
      </c>
      <c r="L26" s="5">
        <v>6.2</v>
      </c>
      <c r="M26" s="5">
        <v>1.2</v>
      </c>
      <c r="N26" s="5">
        <v>5.9</v>
      </c>
      <c r="O26" s="5">
        <v>3.2</v>
      </c>
      <c r="P26" s="5">
        <v>2.4</v>
      </c>
      <c r="Q26" s="5">
        <v>1.6</v>
      </c>
      <c r="R26" s="5">
        <v>7.1</v>
      </c>
      <c r="S26" s="4">
        <v>0</v>
      </c>
      <c r="T26" s="5"/>
      <c r="U26" s="5"/>
      <c r="V26" s="5"/>
      <c r="W26" s="5"/>
      <c r="X26" s="5"/>
      <c r="Y26" s="5"/>
      <c r="Z26" s="5"/>
      <c r="AA26" s="5"/>
      <c r="AB26" s="12"/>
    </row>
    <row r="27" spans="1:28" ht="21" customHeight="1" x14ac:dyDescent="0.25">
      <c r="A27" s="21">
        <v>18</v>
      </c>
      <c r="B27" s="6">
        <v>3.6</v>
      </c>
      <c r="C27" s="5">
        <v>5</v>
      </c>
      <c r="D27" s="5">
        <v>3.6</v>
      </c>
      <c r="E27" s="5">
        <v>6</v>
      </c>
      <c r="F27" s="5">
        <v>1.7</v>
      </c>
      <c r="G27" s="5">
        <v>1.1000000000000001</v>
      </c>
      <c r="H27" s="5">
        <v>6.6</v>
      </c>
      <c r="I27" s="5">
        <v>4.5999999999999996</v>
      </c>
      <c r="J27" s="5">
        <v>5.4</v>
      </c>
      <c r="K27" s="5">
        <v>1.8</v>
      </c>
      <c r="L27" s="5">
        <v>6.9</v>
      </c>
      <c r="M27" s="5">
        <v>1</v>
      </c>
      <c r="N27" s="5">
        <v>5.4</v>
      </c>
      <c r="O27" s="5">
        <v>3</v>
      </c>
      <c r="P27" s="5">
        <v>2.2000000000000002</v>
      </c>
      <c r="Q27" s="5">
        <v>1.7</v>
      </c>
      <c r="R27" s="5">
        <v>6.1</v>
      </c>
      <c r="S27" s="5">
        <v>1.6</v>
      </c>
      <c r="T27" s="4">
        <v>0</v>
      </c>
      <c r="U27" s="5"/>
      <c r="V27" s="5"/>
      <c r="W27" s="5"/>
      <c r="X27" s="5"/>
      <c r="Y27" s="5"/>
      <c r="Z27" s="5"/>
      <c r="AA27" s="5"/>
      <c r="AB27" s="12"/>
    </row>
    <row r="28" spans="1:28" ht="21" customHeight="1" x14ac:dyDescent="0.25">
      <c r="A28" s="21">
        <v>19</v>
      </c>
      <c r="B28" s="6">
        <v>6.5</v>
      </c>
      <c r="C28" s="5">
        <v>4.8</v>
      </c>
      <c r="D28" s="5">
        <v>4.3</v>
      </c>
      <c r="E28" s="5">
        <v>10.6</v>
      </c>
      <c r="F28" s="5">
        <v>6.5</v>
      </c>
      <c r="G28" s="5">
        <v>3.5</v>
      </c>
      <c r="H28" s="5">
        <v>3.2</v>
      </c>
      <c r="I28" s="5">
        <v>6.7</v>
      </c>
      <c r="J28" s="5">
        <v>1</v>
      </c>
      <c r="K28" s="5">
        <v>4.0999999999999996</v>
      </c>
      <c r="L28" s="5">
        <v>11.5</v>
      </c>
      <c r="M28" s="5">
        <v>3.7</v>
      </c>
      <c r="N28" s="5">
        <v>1</v>
      </c>
      <c r="O28" s="5">
        <v>6.9</v>
      </c>
      <c r="P28" s="5">
        <v>6.8</v>
      </c>
      <c r="Q28" s="5">
        <v>6.4</v>
      </c>
      <c r="R28" s="5">
        <v>7.2</v>
      </c>
      <c r="S28" s="5">
        <v>4.9000000000000004</v>
      </c>
      <c r="T28" s="5">
        <v>4.4000000000000004</v>
      </c>
      <c r="U28" s="4">
        <v>0</v>
      </c>
      <c r="V28" s="5"/>
      <c r="W28" s="5"/>
      <c r="X28" s="5"/>
      <c r="Y28" s="5"/>
      <c r="Z28" s="5"/>
      <c r="AA28" s="5"/>
      <c r="AB28" s="12"/>
    </row>
    <row r="29" spans="1:28" ht="21" customHeight="1" x14ac:dyDescent="0.25">
      <c r="A29" s="21">
        <v>20</v>
      </c>
      <c r="B29" s="6">
        <v>1.9</v>
      </c>
      <c r="C29" s="5">
        <v>9.5</v>
      </c>
      <c r="D29" s="5">
        <v>3.3</v>
      </c>
      <c r="E29" s="5">
        <v>5.9</v>
      </c>
      <c r="F29" s="5">
        <v>3.2</v>
      </c>
      <c r="G29" s="5">
        <v>4.9000000000000004</v>
      </c>
      <c r="H29" s="5">
        <v>11.2</v>
      </c>
      <c r="I29" s="5">
        <v>8.1</v>
      </c>
      <c r="J29" s="5">
        <v>8.5</v>
      </c>
      <c r="K29" s="5">
        <v>3.8</v>
      </c>
      <c r="L29" s="5">
        <v>6.9</v>
      </c>
      <c r="M29" s="5">
        <v>4.0999999999999996</v>
      </c>
      <c r="N29" s="5">
        <v>8.5</v>
      </c>
      <c r="O29" s="5">
        <v>6.2</v>
      </c>
      <c r="P29" s="5">
        <v>5.3</v>
      </c>
      <c r="Q29" s="5">
        <v>4.9000000000000004</v>
      </c>
      <c r="R29" s="5">
        <v>10.6</v>
      </c>
      <c r="S29" s="5">
        <v>3</v>
      </c>
      <c r="T29" s="5">
        <v>4.5999999999999996</v>
      </c>
      <c r="U29" s="5">
        <v>7.5</v>
      </c>
      <c r="V29" s="4">
        <v>0</v>
      </c>
      <c r="W29" s="5"/>
      <c r="X29" s="5"/>
      <c r="Y29" s="5"/>
      <c r="Z29" s="5"/>
      <c r="AA29" s="5"/>
      <c r="AB29" s="12"/>
    </row>
    <row r="30" spans="1:28" ht="21" customHeight="1" x14ac:dyDescent="0.25">
      <c r="A30" s="21">
        <v>21</v>
      </c>
      <c r="B30" s="6">
        <v>3.4</v>
      </c>
      <c r="C30" s="5">
        <v>10.9</v>
      </c>
      <c r="D30" s="5">
        <v>5</v>
      </c>
      <c r="E30" s="5">
        <v>7.4</v>
      </c>
      <c r="F30" s="5">
        <v>5.2</v>
      </c>
      <c r="G30" s="5">
        <v>6.9</v>
      </c>
      <c r="H30" s="5">
        <v>12.7</v>
      </c>
      <c r="I30" s="5">
        <v>10.4</v>
      </c>
      <c r="J30" s="5">
        <v>10.3</v>
      </c>
      <c r="K30" s="5">
        <v>5.8</v>
      </c>
      <c r="L30" s="5">
        <v>8.3000000000000007</v>
      </c>
      <c r="M30" s="5">
        <v>6.2</v>
      </c>
      <c r="N30" s="5">
        <v>10.3</v>
      </c>
      <c r="O30" s="5">
        <v>8.1999999999999993</v>
      </c>
      <c r="P30" s="5">
        <v>7.4</v>
      </c>
      <c r="Q30" s="5">
        <v>6.9</v>
      </c>
      <c r="R30" s="5">
        <v>12</v>
      </c>
      <c r="S30" s="5">
        <v>5</v>
      </c>
      <c r="T30" s="5">
        <v>6.6</v>
      </c>
      <c r="U30" s="5">
        <v>9.3000000000000007</v>
      </c>
      <c r="V30" s="5">
        <v>2</v>
      </c>
      <c r="W30" s="4">
        <v>0</v>
      </c>
      <c r="X30" s="5"/>
      <c r="Y30" s="5"/>
      <c r="Z30" s="5"/>
      <c r="AA30" s="5"/>
      <c r="AB30" s="12"/>
    </row>
    <row r="31" spans="1:28" ht="21" customHeight="1" x14ac:dyDescent="0.25">
      <c r="A31" s="21">
        <v>22</v>
      </c>
      <c r="B31" s="6">
        <v>2.4</v>
      </c>
      <c r="C31" s="5">
        <v>8.3000000000000007</v>
      </c>
      <c r="D31" s="5">
        <v>6.1</v>
      </c>
      <c r="E31" s="5">
        <v>4.7</v>
      </c>
      <c r="F31" s="5">
        <v>2.5</v>
      </c>
      <c r="G31" s="5">
        <v>4.2</v>
      </c>
      <c r="H31" s="5">
        <v>10</v>
      </c>
      <c r="I31" s="5">
        <v>7.8</v>
      </c>
      <c r="J31" s="5">
        <v>7.8</v>
      </c>
      <c r="K31" s="5">
        <v>4.3</v>
      </c>
      <c r="L31" s="5">
        <v>4.0999999999999996</v>
      </c>
      <c r="M31" s="5">
        <v>3.4</v>
      </c>
      <c r="N31" s="5">
        <v>7.8</v>
      </c>
      <c r="O31" s="5">
        <v>5.5</v>
      </c>
      <c r="P31" s="5">
        <v>4.5999999999999996</v>
      </c>
      <c r="Q31" s="5">
        <v>4.2</v>
      </c>
      <c r="R31" s="5">
        <v>9.4</v>
      </c>
      <c r="S31" s="5">
        <v>2.2999999999999998</v>
      </c>
      <c r="T31" s="5">
        <v>3.9</v>
      </c>
      <c r="U31" s="5">
        <v>6.8</v>
      </c>
      <c r="V31" s="5">
        <v>2.9</v>
      </c>
      <c r="W31" s="5">
        <v>4.4000000000000004</v>
      </c>
      <c r="X31" s="4">
        <v>0</v>
      </c>
      <c r="Y31" s="5"/>
      <c r="Z31" s="5"/>
      <c r="AA31" s="5"/>
      <c r="AB31" s="12"/>
    </row>
    <row r="32" spans="1:28" ht="21" customHeight="1" x14ac:dyDescent="0.25">
      <c r="A32" s="21">
        <v>23</v>
      </c>
      <c r="B32" s="6">
        <v>6.4</v>
      </c>
      <c r="C32" s="5">
        <v>6.9</v>
      </c>
      <c r="D32" s="5">
        <v>9.6999999999999993</v>
      </c>
      <c r="E32" s="5">
        <v>0.6</v>
      </c>
      <c r="F32" s="5">
        <v>6</v>
      </c>
      <c r="G32" s="5">
        <v>9</v>
      </c>
      <c r="H32" s="5">
        <v>8.1999999999999993</v>
      </c>
      <c r="I32" s="5">
        <v>4.2</v>
      </c>
      <c r="J32" s="5">
        <v>11.5</v>
      </c>
      <c r="K32" s="5">
        <v>7.8</v>
      </c>
      <c r="L32" s="5">
        <v>0.4</v>
      </c>
      <c r="M32" s="5">
        <v>6.9</v>
      </c>
      <c r="N32" s="5">
        <v>11.5</v>
      </c>
      <c r="O32" s="5">
        <v>4.4000000000000004</v>
      </c>
      <c r="P32" s="5">
        <v>4.8</v>
      </c>
      <c r="Q32" s="5">
        <v>5.6</v>
      </c>
      <c r="R32" s="5">
        <v>7.5</v>
      </c>
      <c r="S32" s="5">
        <v>5.5</v>
      </c>
      <c r="T32" s="5">
        <v>6.5</v>
      </c>
      <c r="U32" s="5">
        <v>11.4</v>
      </c>
      <c r="V32" s="5">
        <v>6.4</v>
      </c>
      <c r="W32" s="5">
        <v>7.9</v>
      </c>
      <c r="X32" s="5">
        <v>4.5</v>
      </c>
      <c r="Y32" s="4">
        <v>0</v>
      </c>
      <c r="Z32" s="5"/>
      <c r="AA32" s="5"/>
      <c r="AB32" s="12"/>
    </row>
    <row r="33" spans="1:28" ht="21" customHeight="1" x14ac:dyDescent="0.25">
      <c r="A33" s="21">
        <v>24</v>
      </c>
      <c r="B33" s="6">
        <v>2.4</v>
      </c>
      <c r="C33" s="5">
        <v>10</v>
      </c>
      <c r="D33" s="5">
        <v>6.1</v>
      </c>
      <c r="E33" s="5">
        <v>6.4</v>
      </c>
      <c r="F33" s="5">
        <v>4.2</v>
      </c>
      <c r="G33" s="5">
        <v>5.9</v>
      </c>
      <c r="H33" s="5">
        <v>11.7</v>
      </c>
      <c r="I33" s="5">
        <v>9.5</v>
      </c>
      <c r="J33" s="5">
        <v>9.5</v>
      </c>
      <c r="K33" s="5">
        <v>4.8</v>
      </c>
      <c r="L33" s="5">
        <v>4.9000000000000004</v>
      </c>
      <c r="M33" s="5">
        <v>5.2</v>
      </c>
      <c r="N33" s="5">
        <v>9.5</v>
      </c>
      <c r="O33" s="5">
        <v>7.2</v>
      </c>
      <c r="P33" s="5">
        <v>6.3</v>
      </c>
      <c r="Q33" s="5">
        <v>5.9</v>
      </c>
      <c r="R33" s="5">
        <v>11.1</v>
      </c>
      <c r="S33" s="5">
        <v>4</v>
      </c>
      <c r="T33" s="5">
        <v>5.6</v>
      </c>
      <c r="U33" s="5">
        <v>8.5</v>
      </c>
      <c r="V33" s="5">
        <v>2.8</v>
      </c>
      <c r="W33" s="5">
        <v>3.4</v>
      </c>
      <c r="X33" s="5">
        <v>1.7</v>
      </c>
      <c r="Y33" s="5">
        <v>5.4</v>
      </c>
      <c r="Z33" s="4">
        <v>0</v>
      </c>
      <c r="AA33" s="5"/>
      <c r="AB33" s="12"/>
    </row>
    <row r="34" spans="1:28" ht="21" customHeight="1" x14ac:dyDescent="0.25">
      <c r="A34" s="21">
        <v>25</v>
      </c>
      <c r="B34" s="6">
        <v>5</v>
      </c>
      <c r="C34" s="5">
        <v>4.4000000000000004</v>
      </c>
      <c r="D34" s="5">
        <v>2.8</v>
      </c>
      <c r="E34" s="5">
        <v>10.1</v>
      </c>
      <c r="F34" s="5">
        <v>5.4</v>
      </c>
      <c r="G34" s="5">
        <v>3.5</v>
      </c>
      <c r="H34" s="5">
        <v>5.0999999999999996</v>
      </c>
      <c r="I34" s="5">
        <v>6.2</v>
      </c>
      <c r="J34" s="5">
        <v>2.8</v>
      </c>
      <c r="K34" s="5">
        <v>3.2</v>
      </c>
      <c r="L34" s="5">
        <v>11</v>
      </c>
      <c r="M34" s="5">
        <v>3.7</v>
      </c>
      <c r="N34" s="5">
        <v>2.8</v>
      </c>
      <c r="O34" s="5">
        <v>6.4</v>
      </c>
      <c r="P34" s="5">
        <v>6.5</v>
      </c>
      <c r="Q34" s="5">
        <v>5.7</v>
      </c>
      <c r="R34" s="5">
        <v>6.2</v>
      </c>
      <c r="S34" s="5">
        <v>5.0999999999999996</v>
      </c>
      <c r="T34" s="5">
        <v>4.3</v>
      </c>
      <c r="U34" s="5">
        <v>1.8</v>
      </c>
      <c r="V34" s="5">
        <v>6</v>
      </c>
      <c r="W34" s="5">
        <v>7.9</v>
      </c>
      <c r="X34" s="5">
        <v>6.8</v>
      </c>
      <c r="Y34" s="5">
        <v>10.6</v>
      </c>
      <c r="Z34" s="5">
        <v>7</v>
      </c>
      <c r="AA34" s="4">
        <v>0</v>
      </c>
      <c r="AB34" s="12"/>
    </row>
    <row r="35" spans="1:28" ht="21" customHeight="1" thickBot="1" x14ac:dyDescent="0.3">
      <c r="A35" s="22">
        <v>26</v>
      </c>
      <c r="B35" s="13">
        <v>3.6</v>
      </c>
      <c r="C35" s="14">
        <v>13</v>
      </c>
      <c r="D35" s="14">
        <v>7.4</v>
      </c>
      <c r="E35" s="14">
        <v>10.1</v>
      </c>
      <c r="F35" s="14">
        <v>5.5</v>
      </c>
      <c r="G35" s="14">
        <v>7.2</v>
      </c>
      <c r="H35" s="14">
        <v>14.2</v>
      </c>
      <c r="I35" s="14">
        <v>10.7</v>
      </c>
      <c r="J35" s="14">
        <v>14.1</v>
      </c>
      <c r="K35" s="14">
        <v>6</v>
      </c>
      <c r="L35" s="14">
        <v>6.8</v>
      </c>
      <c r="M35" s="14">
        <v>6.4</v>
      </c>
      <c r="N35" s="14">
        <v>14.1</v>
      </c>
      <c r="O35" s="14">
        <v>10.5</v>
      </c>
      <c r="P35" s="14">
        <v>8.8000000000000007</v>
      </c>
      <c r="Q35" s="14">
        <v>8.4</v>
      </c>
      <c r="R35" s="14">
        <v>13.6</v>
      </c>
      <c r="S35" s="14">
        <v>5.2</v>
      </c>
      <c r="T35" s="14">
        <v>6.9</v>
      </c>
      <c r="U35" s="14">
        <v>13.1</v>
      </c>
      <c r="V35" s="14">
        <v>4.0999999999999996</v>
      </c>
      <c r="W35" s="14">
        <v>4.7</v>
      </c>
      <c r="X35" s="14">
        <v>3.1</v>
      </c>
      <c r="Y35" s="14">
        <v>7.8</v>
      </c>
      <c r="Z35" s="14">
        <v>1.3</v>
      </c>
      <c r="AA35" s="14">
        <v>8.3000000000000007</v>
      </c>
      <c r="AB35" s="15">
        <v>0</v>
      </c>
    </row>
  </sheetData>
  <mergeCells count="3">
    <mergeCell ref="B1:G3"/>
    <mergeCell ref="B4:V5"/>
    <mergeCell ref="B6:P6"/>
  </mergeCells>
  <pageMargins left="0.25" right="0.25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A572D-B1C8-44CD-89FD-3F60E383B17E}">
  <sheetPr codeName="Sheet4"/>
  <dimension ref="A1:F28"/>
  <sheetViews>
    <sheetView workbookViewId="0">
      <selection activeCell="A18" sqref="A17:B18"/>
    </sheetView>
  </sheetViews>
  <sheetFormatPr defaultRowHeight="15" x14ac:dyDescent="0.25"/>
  <cols>
    <col min="2" max="2" width="41.42578125" customWidth="1"/>
    <col min="3" max="3" width="32.7109375" customWidth="1"/>
    <col min="5" max="5" width="16.7109375" customWidth="1"/>
    <col min="6" max="6" width="19.5703125" bestFit="1" customWidth="1"/>
  </cols>
  <sheetData>
    <row r="1" spans="1:6" ht="15.75" thickBot="1" x14ac:dyDescent="0.3">
      <c r="A1" s="30" t="s">
        <v>57</v>
      </c>
      <c r="B1" s="30" t="s">
        <v>59</v>
      </c>
      <c r="C1" s="30" t="s">
        <v>60</v>
      </c>
      <c r="D1" s="30" t="s">
        <v>61</v>
      </c>
      <c r="E1" s="30" t="s">
        <v>62</v>
      </c>
      <c r="F1" s="30" t="s">
        <v>63</v>
      </c>
    </row>
    <row r="2" spans="1:6" x14ac:dyDescent="0.25">
      <c r="A2" s="29">
        <v>0</v>
      </c>
      <c r="B2" s="28" t="s">
        <v>65</v>
      </c>
      <c r="C2" s="29" t="s">
        <v>64</v>
      </c>
      <c r="D2" s="29">
        <v>84107</v>
      </c>
      <c r="E2" s="29">
        <v>0</v>
      </c>
      <c r="F2" s="29">
        <v>0</v>
      </c>
    </row>
    <row r="3" spans="1:6" x14ac:dyDescent="0.25">
      <c r="A3" s="29">
        <v>1</v>
      </c>
      <c r="B3" s="28" t="s">
        <v>92</v>
      </c>
      <c r="C3" s="28" t="s">
        <v>66</v>
      </c>
      <c r="D3" s="29">
        <v>84104</v>
      </c>
      <c r="E3" s="29">
        <v>7.2</v>
      </c>
      <c r="F3" s="29">
        <f>(E3/18)*60</f>
        <v>24</v>
      </c>
    </row>
    <row r="4" spans="1:6" x14ac:dyDescent="0.25">
      <c r="A4" s="29">
        <v>2</v>
      </c>
      <c r="B4" s="28" t="s">
        <v>93</v>
      </c>
      <c r="C4" s="28" t="s">
        <v>67</v>
      </c>
      <c r="D4" s="29">
        <v>84106</v>
      </c>
      <c r="E4" s="29">
        <v>3.8</v>
      </c>
      <c r="F4" s="29">
        <f t="shared" ref="F4:F28" si="0">(E4/18)*60</f>
        <v>12.666666666666666</v>
      </c>
    </row>
    <row r="5" spans="1:6" x14ac:dyDescent="0.25">
      <c r="A5" s="29">
        <v>3</v>
      </c>
      <c r="B5" s="28" t="s">
        <v>94</v>
      </c>
      <c r="C5" s="28" t="s">
        <v>68</v>
      </c>
      <c r="D5" s="29">
        <v>84123</v>
      </c>
      <c r="E5" s="29">
        <v>11</v>
      </c>
      <c r="F5" s="29">
        <f t="shared" si="0"/>
        <v>36.666666666666671</v>
      </c>
    </row>
    <row r="6" spans="1:6" x14ac:dyDescent="0.25">
      <c r="A6" s="29">
        <v>4</v>
      </c>
      <c r="B6" s="28" t="s">
        <v>95</v>
      </c>
      <c r="C6" s="28" t="s">
        <v>69</v>
      </c>
      <c r="D6" s="29">
        <v>84115</v>
      </c>
      <c r="E6" s="29">
        <v>2.2000000000000002</v>
      </c>
      <c r="F6" s="29">
        <f t="shared" si="0"/>
        <v>7.3333333333333339</v>
      </c>
    </row>
    <row r="7" spans="1:6" x14ac:dyDescent="0.25">
      <c r="A7" s="29">
        <v>5</v>
      </c>
      <c r="B7" s="28" t="s">
        <v>96</v>
      </c>
      <c r="C7" s="28" t="s">
        <v>70</v>
      </c>
      <c r="D7" s="29">
        <v>84115</v>
      </c>
      <c r="E7" s="29">
        <v>3.5</v>
      </c>
      <c r="F7" s="29">
        <f t="shared" si="0"/>
        <v>11.666666666666666</v>
      </c>
    </row>
    <row r="8" spans="1:6" x14ac:dyDescent="0.25">
      <c r="A8" s="29">
        <v>6</v>
      </c>
      <c r="B8" s="28" t="s">
        <v>97</v>
      </c>
      <c r="C8" s="28" t="s">
        <v>71</v>
      </c>
      <c r="D8" s="29">
        <v>84104</v>
      </c>
      <c r="E8" s="29">
        <v>10.9</v>
      </c>
      <c r="F8" s="29">
        <f t="shared" si="0"/>
        <v>36.333333333333336</v>
      </c>
    </row>
    <row r="9" spans="1:6" x14ac:dyDescent="0.25">
      <c r="A9" s="29">
        <v>7</v>
      </c>
      <c r="B9" s="28" t="s">
        <v>98</v>
      </c>
      <c r="C9" s="28" t="s">
        <v>72</v>
      </c>
      <c r="D9" s="29">
        <v>84119</v>
      </c>
      <c r="E9" s="29">
        <v>8.6</v>
      </c>
      <c r="F9" s="29">
        <f t="shared" si="0"/>
        <v>28.666666666666664</v>
      </c>
    </row>
    <row r="10" spans="1:6" x14ac:dyDescent="0.25">
      <c r="A10" s="29">
        <v>8</v>
      </c>
      <c r="B10" s="28" t="s">
        <v>99</v>
      </c>
      <c r="C10" s="28" t="s">
        <v>73</v>
      </c>
      <c r="D10" s="29">
        <v>84103</v>
      </c>
      <c r="E10" s="29">
        <v>7.6</v>
      </c>
      <c r="F10" s="29">
        <f t="shared" si="0"/>
        <v>25.333333333333332</v>
      </c>
    </row>
    <row r="11" spans="1:6" x14ac:dyDescent="0.25">
      <c r="A11" s="29">
        <v>9</v>
      </c>
      <c r="B11" s="28" t="s">
        <v>117</v>
      </c>
      <c r="C11" s="28" t="s">
        <v>74</v>
      </c>
      <c r="D11" s="29">
        <v>84106</v>
      </c>
      <c r="E11" s="29">
        <v>2.8</v>
      </c>
      <c r="F11" s="29">
        <f t="shared" si="0"/>
        <v>9.3333333333333339</v>
      </c>
    </row>
    <row r="12" spans="1:6" x14ac:dyDescent="0.25">
      <c r="A12" s="29">
        <v>10</v>
      </c>
      <c r="B12" s="28" t="s">
        <v>116</v>
      </c>
      <c r="C12" s="28" t="s">
        <v>75</v>
      </c>
      <c r="D12" s="29">
        <v>84118</v>
      </c>
      <c r="E12" s="29">
        <v>6.4</v>
      </c>
      <c r="F12" s="29">
        <f t="shared" si="0"/>
        <v>21.333333333333336</v>
      </c>
    </row>
    <row r="13" spans="1:6" x14ac:dyDescent="0.25">
      <c r="A13" s="29">
        <v>11</v>
      </c>
      <c r="B13" s="28" t="s">
        <v>115</v>
      </c>
      <c r="C13" s="28" t="s">
        <v>76</v>
      </c>
      <c r="D13" s="29">
        <v>84115</v>
      </c>
      <c r="E13" s="29">
        <v>3.2</v>
      </c>
      <c r="F13" s="29">
        <f t="shared" si="0"/>
        <v>10.666666666666668</v>
      </c>
    </row>
    <row r="14" spans="1:6" x14ac:dyDescent="0.25">
      <c r="A14" s="29">
        <v>12</v>
      </c>
      <c r="B14" s="28" t="s">
        <v>114</v>
      </c>
      <c r="C14" s="28" t="s">
        <v>77</v>
      </c>
      <c r="D14" s="29">
        <v>84103</v>
      </c>
      <c r="E14" s="29">
        <v>7.6</v>
      </c>
      <c r="F14" s="29">
        <f t="shared" si="0"/>
        <v>25.333333333333332</v>
      </c>
    </row>
    <row r="15" spans="1:6" x14ac:dyDescent="0.25">
      <c r="A15" s="29">
        <v>13</v>
      </c>
      <c r="B15" s="28" t="s">
        <v>113</v>
      </c>
      <c r="C15" s="28" t="s">
        <v>78</v>
      </c>
      <c r="D15" s="29">
        <v>84119</v>
      </c>
      <c r="E15" s="29">
        <v>5.2</v>
      </c>
      <c r="F15" s="29">
        <f t="shared" si="0"/>
        <v>17.333333333333336</v>
      </c>
    </row>
    <row r="16" spans="1:6" x14ac:dyDescent="0.25">
      <c r="A16" s="29">
        <v>14</v>
      </c>
      <c r="B16" s="28" t="s">
        <v>112</v>
      </c>
      <c r="C16" s="28" t="s">
        <v>79</v>
      </c>
      <c r="D16" s="29">
        <v>84119</v>
      </c>
      <c r="E16" s="29">
        <v>4.4000000000000004</v>
      </c>
      <c r="F16" s="29">
        <f t="shared" si="0"/>
        <v>14.666666666666668</v>
      </c>
    </row>
    <row r="17" spans="1:6" x14ac:dyDescent="0.25">
      <c r="A17" s="29">
        <v>15</v>
      </c>
      <c r="B17" s="28" t="s">
        <v>111</v>
      </c>
      <c r="C17" s="28" t="s">
        <v>80</v>
      </c>
      <c r="D17" s="29">
        <v>84119</v>
      </c>
      <c r="E17" s="29">
        <v>3.66112816434</v>
      </c>
      <c r="F17" s="29">
        <f t="shared" si="0"/>
        <v>12.2037605478</v>
      </c>
    </row>
    <row r="18" spans="1:6" x14ac:dyDescent="0.25">
      <c r="A18" s="29">
        <v>16</v>
      </c>
      <c r="B18" s="28" t="s">
        <v>110</v>
      </c>
      <c r="C18" s="28" t="s">
        <v>81</v>
      </c>
      <c r="D18" s="29">
        <v>84119</v>
      </c>
      <c r="E18" s="29">
        <v>7.6</v>
      </c>
      <c r="F18" s="29">
        <f t="shared" si="0"/>
        <v>25.333333333333332</v>
      </c>
    </row>
    <row r="19" spans="1:6" x14ac:dyDescent="0.25">
      <c r="A19" s="29">
        <v>17</v>
      </c>
      <c r="B19" s="28" t="s">
        <v>109</v>
      </c>
      <c r="C19" s="28" t="s">
        <v>82</v>
      </c>
      <c r="D19" s="29">
        <v>84115</v>
      </c>
      <c r="E19" s="29">
        <v>2</v>
      </c>
      <c r="F19" s="29">
        <f t="shared" si="0"/>
        <v>6.6666666666666661</v>
      </c>
    </row>
    <row r="20" spans="1:6" x14ac:dyDescent="0.25">
      <c r="A20" s="29">
        <v>18</v>
      </c>
      <c r="B20" s="28" t="s">
        <v>108</v>
      </c>
      <c r="C20" s="28" t="s">
        <v>83</v>
      </c>
      <c r="D20" s="29">
        <v>84115</v>
      </c>
      <c r="E20" s="29">
        <v>3.6</v>
      </c>
      <c r="F20" s="29">
        <f t="shared" si="0"/>
        <v>12</v>
      </c>
    </row>
    <row r="21" spans="1:6" x14ac:dyDescent="0.25">
      <c r="A21" s="29">
        <v>19</v>
      </c>
      <c r="B21" s="28" t="s">
        <v>107</v>
      </c>
      <c r="C21" s="28" t="s">
        <v>84</v>
      </c>
      <c r="D21" s="29">
        <v>84111</v>
      </c>
      <c r="E21" s="29">
        <v>6.5</v>
      </c>
      <c r="F21" s="29">
        <f t="shared" si="0"/>
        <v>21.666666666666668</v>
      </c>
    </row>
    <row r="22" spans="1:6" x14ac:dyDescent="0.25">
      <c r="A22" s="29">
        <v>20</v>
      </c>
      <c r="B22" s="28" t="s">
        <v>106</v>
      </c>
      <c r="C22" s="28" t="s">
        <v>85</v>
      </c>
      <c r="D22" s="29">
        <v>84117</v>
      </c>
      <c r="E22" s="29">
        <v>1.9</v>
      </c>
      <c r="F22" s="29">
        <f t="shared" si="0"/>
        <v>6.333333333333333</v>
      </c>
    </row>
    <row r="23" spans="1:6" x14ac:dyDescent="0.25">
      <c r="A23" s="29">
        <v>21</v>
      </c>
      <c r="B23" s="28" t="s">
        <v>105</v>
      </c>
      <c r="C23" s="28" t="s">
        <v>86</v>
      </c>
      <c r="D23" s="29">
        <v>84117</v>
      </c>
      <c r="E23" s="29">
        <v>3.4</v>
      </c>
      <c r="F23" s="29">
        <f t="shared" si="0"/>
        <v>11.333333333333332</v>
      </c>
    </row>
    <row r="24" spans="1:6" x14ac:dyDescent="0.25">
      <c r="A24" s="29">
        <v>22</v>
      </c>
      <c r="B24" s="28" t="s">
        <v>104</v>
      </c>
      <c r="C24" s="28" t="s">
        <v>87</v>
      </c>
      <c r="D24" s="29">
        <v>84107</v>
      </c>
      <c r="E24" s="29">
        <v>2.4</v>
      </c>
      <c r="F24" s="29">
        <f t="shared" si="0"/>
        <v>8</v>
      </c>
    </row>
    <row r="25" spans="1:6" x14ac:dyDescent="0.25">
      <c r="A25" s="29">
        <v>23</v>
      </c>
      <c r="B25" s="28" t="s">
        <v>103</v>
      </c>
      <c r="C25" s="28" t="s">
        <v>88</v>
      </c>
      <c r="D25" s="29">
        <v>84118</v>
      </c>
      <c r="E25" s="29">
        <v>6.4</v>
      </c>
      <c r="F25" s="29">
        <f t="shared" si="0"/>
        <v>21.333333333333336</v>
      </c>
    </row>
    <row r="26" spans="1:6" x14ac:dyDescent="0.25">
      <c r="A26" s="29">
        <v>24</v>
      </c>
      <c r="B26" s="28" t="s">
        <v>102</v>
      </c>
      <c r="C26" s="28" t="s">
        <v>89</v>
      </c>
      <c r="D26" s="29">
        <v>84117</v>
      </c>
      <c r="E26" s="29">
        <v>2.4</v>
      </c>
      <c r="F26" s="29">
        <f t="shared" si="0"/>
        <v>8</v>
      </c>
    </row>
    <row r="27" spans="1:6" x14ac:dyDescent="0.25">
      <c r="A27" s="29">
        <v>25</v>
      </c>
      <c r="B27" s="28" t="s">
        <v>101</v>
      </c>
      <c r="C27" s="28" t="s">
        <v>90</v>
      </c>
      <c r="D27" s="29">
        <v>84105</v>
      </c>
      <c r="E27" s="29">
        <v>5</v>
      </c>
      <c r="F27" s="29">
        <f t="shared" si="0"/>
        <v>16.666666666666668</v>
      </c>
    </row>
    <row r="28" spans="1:6" x14ac:dyDescent="0.25">
      <c r="A28" s="29">
        <v>26</v>
      </c>
      <c r="B28" s="28" t="s">
        <v>100</v>
      </c>
      <c r="C28" s="28" t="s">
        <v>91</v>
      </c>
      <c r="D28" s="29">
        <v>84121</v>
      </c>
      <c r="E28" s="29">
        <v>3.6</v>
      </c>
      <c r="F28" s="29">
        <f t="shared" si="0"/>
        <v>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D8169-E376-46FA-AE8B-A7F6AB45B8A2}">
  <sheetPr codeName="Sheet5"/>
  <dimension ref="A1:E379"/>
  <sheetViews>
    <sheetView workbookViewId="0">
      <selection activeCell="H11" sqref="H11"/>
    </sheetView>
  </sheetViews>
  <sheetFormatPr defaultRowHeight="15" x14ac:dyDescent="0.25"/>
  <cols>
    <col min="3" max="3" width="12.5703125" style="27" customWidth="1"/>
    <col min="4" max="4" width="23.5703125" style="27" customWidth="1"/>
    <col min="5" max="5" width="14.5703125" customWidth="1"/>
  </cols>
  <sheetData>
    <row r="1" spans="1:5" x14ac:dyDescent="0.25">
      <c r="C1" s="27" t="s">
        <v>118</v>
      </c>
      <c r="D1" s="27" t="s">
        <v>119</v>
      </c>
      <c r="E1" t="s">
        <v>58</v>
      </c>
    </row>
    <row r="2" spans="1:5" x14ac:dyDescent="0.25">
      <c r="A2" t="str">
        <f>C2&amp;"to"&amp;D2</f>
        <v>0to0</v>
      </c>
      <c r="B2">
        <f>C2*26+D2</f>
        <v>0</v>
      </c>
      <c r="C2" s="27">
        <v>0</v>
      </c>
      <c r="D2" s="27">
        <v>0</v>
      </c>
      <c r="E2">
        <v>0</v>
      </c>
    </row>
    <row r="3" spans="1:5" x14ac:dyDescent="0.25">
      <c r="A3" t="str">
        <f t="shared" ref="A3:A66" si="0">C3&amp;"to"&amp;D3</f>
        <v>0to1</v>
      </c>
      <c r="B3">
        <f t="shared" ref="B3:B66" si="1">C3*26+D3</f>
        <v>1</v>
      </c>
      <c r="C3" s="27">
        <v>0</v>
      </c>
      <c r="D3" s="27">
        <v>1</v>
      </c>
      <c r="E3">
        <v>7.2</v>
      </c>
    </row>
    <row r="4" spans="1:5" x14ac:dyDescent="0.25">
      <c r="A4" t="str">
        <f t="shared" si="0"/>
        <v>0to2</v>
      </c>
      <c r="B4">
        <f t="shared" si="1"/>
        <v>2</v>
      </c>
      <c r="C4" s="27">
        <v>0</v>
      </c>
      <c r="D4" s="27">
        <v>2</v>
      </c>
      <c r="E4">
        <v>3.8</v>
      </c>
    </row>
    <row r="5" spans="1:5" x14ac:dyDescent="0.25">
      <c r="A5" t="str">
        <f t="shared" si="0"/>
        <v>0to3</v>
      </c>
      <c r="B5">
        <f t="shared" si="1"/>
        <v>3</v>
      </c>
      <c r="C5" s="27">
        <v>0</v>
      </c>
      <c r="D5" s="27">
        <v>3</v>
      </c>
      <c r="E5">
        <v>11</v>
      </c>
    </row>
    <row r="6" spans="1:5" x14ac:dyDescent="0.25">
      <c r="A6" t="str">
        <f t="shared" si="0"/>
        <v>0to4</v>
      </c>
      <c r="B6">
        <f t="shared" si="1"/>
        <v>4</v>
      </c>
      <c r="C6" s="27">
        <v>0</v>
      </c>
      <c r="D6" s="27">
        <v>4</v>
      </c>
      <c r="E6">
        <v>2.2000000000000002</v>
      </c>
    </row>
    <row r="7" spans="1:5" x14ac:dyDescent="0.25">
      <c r="A7" t="str">
        <f t="shared" si="0"/>
        <v>0to5</v>
      </c>
      <c r="B7">
        <f t="shared" si="1"/>
        <v>5</v>
      </c>
      <c r="C7" s="27">
        <v>0</v>
      </c>
      <c r="D7" s="27">
        <v>5</v>
      </c>
      <c r="E7">
        <v>3.5</v>
      </c>
    </row>
    <row r="8" spans="1:5" x14ac:dyDescent="0.25">
      <c r="A8" t="str">
        <f t="shared" si="0"/>
        <v>0to6</v>
      </c>
      <c r="B8">
        <f t="shared" si="1"/>
        <v>6</v>
      </c>
      <c r="C8" s="27">
        <v>0</v>
      </c>
      <c r="D8" s="27">
        <v>6</v>
      </c>
      <c r="E8">
        <v>10.9</v>
      </c>
    </row>
    <row r="9" spans="1:5" x14ac:dyDescent="0.25">
      <c r="A9" t="str">
        <f t="shared" si="0"/>
        <v>0to7</v>
      </c>
      <c r="B9">
        <f t="shared" si="1"/>
        <v>7</v>
      </c>
      <c r="C9" s="27">
        <v>0</v>
      </c>
      <c r="D9" s="27">
        <v>7</v>
      </c>
      <c r="E9">
        <v>8.6</v>
      </c>
    </row>
    <row r="10" spans="1:5" x14ac:dyDescent="0.25">
      <c r="A10" t="str">
        <f t="shared" si="0"/>
        <v>0to8</v>
      </c>
      <c r="B10">
        <f t="shared" si="1"/>
        <v>8</v>
      </c>
      <c r="C10" s="27">
        <v>0</v>
      </c>
      <c r="D10" s="27">
        <v>8</v>
      </c>
      <c r="E10">
        <v>7.6</v>
      </c>
    </row>
    <row r="11" spans="1:5" x14ac:dyDescent="0.25">
      <c r="A11" t="str">
        <f t="shared" si="0"/>
        <v>0to9</v>
      </c>
      <c r="B11">
        <f t="shared" si="1"/>
        <v>9</v>
      </c>
      <c r="C11" s="27">
        <v>0</v>
      </c>
      <c r="D11" s="27">
        <v>9</v>
      </c>
      <c r="E11">
        <v>2.8</v>
      </c>
    </row>
    <row r="12" spans="1:5" x14ac:dyDescent="0.25">
      <c r="A12" t="str">
        <f t="shared" si="0"/>
        <v>0to10</v>
      </c>
      <c r="B12">
        <f t="shared" si="1"/>
        <v>10</v>
      </c>
      <c r="C12" s="27">
        <v>0</v>
      </c>
      <c r="D12" s="27">
        <v>10</v>
      </c>
      <c r="E12">
        <v>6.4</v>
      </c>
    </row>
    <row r="13" spans="1:5" x14ac:dyDescent="0.25">
      <c r="A13" t="str">
        <f t="shared" si="0"/>
        <v>0to11</v>
      </c>
      <c r="B13">
        <f t="shared" si="1"/>
        <v>11</v>
      </c>
      <c r="C13" s="27">
        <v>0</v>
      </c>
      <c r="D13" s="27">
        <v>11</v>
      </c>
      <c r="E13">
        <v>3.2</v>
      </c>
    </row>
    <row r="14" spans="1:5" x14ac:dyDescent="0.25">
      <c r="A14" t="str">
        <f t="shared" si="0"/>
        <v>0to12</v>
      </c>
      <c r="B14">
        <f t="shared" si="1"/>
        <v>12</v>
      </c>
      <c r="C14" s="27">
        <v>0</v>
      </c>
      <c r="D14" s="27">
        <v>12</v>
      </c>
      <c r="E14">
        <v>7.6</v>
      </c>
    </row>
    <row r="15" spans="1:5" x14ac:dyDescent="0.25">
      <c r="A15" t="str">
        <f t="shared" si="0"/>
        <v>0to13</v>
      </c>
      <c r="B15">
        <f t="shared" si="1"/>
        <v>13</v>
      </c>
      <c r="C15" s="27">
        <v>0</v>
      </c>
      <c r="D15" s="27">
        <v>13</v>
      </c>
      <c r="E15">
        <v>5.2</v>
      </c>
    </row>
    <row r="16" spans="1:5" x14ac:dyDescent="0.25">
      <c r="A16" t="str">
        <f t="shared" si="0"/>
        <v>0to14</v>
      </c>
      <c r="B16">
        <f t="shared" si="1"/>
        <v>14</v>
      </c>
      <c r="C16" s="27">
        <v>0</v>
      </c>
      <c r="D16" s="27">
        <v>14</v>
      </c>
      <c r="E16">
        <v>4.4000000000000004</v>
      </c>
    </row>
    <row r="17" spans="1:5" x14ac:dyDescent="0.25">
      <c r="A17" t="str">
        <f t="shared" si="0"/>
        <v>0to15</v>
      </c>
      <c r="B17">
        <f t="shared" si="1"/>
        <v>15</v>
      </c>
      <c r="C17" s="27">
        <v>0</v>
      </c>
      <c r="D17" s="27">
        <v>15</v>
      </c>
      <c r="E17">
        <v>3.66112816434</v>
      </c>
    </row>
    <row r="18" spans="1:5" x14ac:dyDescent="0.25">
      <c r="A18" t="str">
        <f t="shared" si="0"/>
        <v>0to16</v>
      </c>
      <c r="B18">
        <f t="shared" si="1"/>
        <v>16</v>
      </c>
      <c r="C18" s="27">
        <v>0</v>
      </c>
      <c r="D18" s="27">
        <v>16</v>
      </c>
      <c r="E18">
        <v>7.6</v>
      </c>
    </row>
    <row r="19" spans="1:5" x14ac:dyDescent="0.25">
      <c r="A19" t="str">
        <f t="shared" si="0"/>
        <v>0to17</v>
      </c>
      <c r="B19">
        <f t="shared" si="1"/>
        <v>17</v>
      </c>
      <c r="C19" s="27">
        <v>0</v>
      </c>
      <c r="D19" s="27">
        <v>17</v>
      </c>
      <c r="E19">
        <v>2</v>
      </c>
    </row>
    <row r="20" spans="1:5" x14ac:dyDescent="0.25">
      <c r="A20" t="str">
        <f t="shared" si="0"/>
        <v>0to18</v>
      </c>
      <c r="B20">
        <f t="shared" si="1"/>
        <v>18</v>
      </c>
      <c r="C20" s="27">
        <v>0</v>
      </c>
      <c r="D20" s="27">
        <v>18</v>
      </c>
      <c r="E20">
        <v>3.6</v>
      </c>
    </row>
    <row r="21" spans="1:5" x14ac:dyDescent="0.25">
      <c r="A21" t="str">
        <f t="shared" si="0"/>
        <v>0to19</v>
      </c>
      <c r="B21">
        <f t="shared" si="1"/>
        <v>19</v>
      </c>
      <c r="C21" s="27">
        <v>0</v>
      </c>
      <c r="D21" s="27">
        <v>19</v>
      </c>
      <c r="E21">
        <v>6.5</v>
      </c>
    </row>
    <row r="22" spans="1:5" x14ac:dyDescent="0.25">
      <c r="A22" t="str">
        <f t="shared" si="0"/>
        <v>0to20</v>
      </c>
      <c r="B22">
        <f t="shared" si="1"/>
        <v>20</v>
      </c>
      <c r="C22" s="27">
        <v>0</v>
      </c>
      <c r="D22" s="27">
        <v>20</v>
      </c>
      <c r="E22">
        <v>1.9</v>
      </c>
    </row>
    <row r="23" spans="1:5" x14ac:dyDescent="0.25">
      <c r="A23" t="str">
        <f t="shared" si="0"/>
        <v>0to21</v>
      </c>
      <c r="B23">
        <f t="shared" si="1"/>
        <v>21</v>
      </c>
      <c r="C23" s="27">
        <v>0</v>
      </c>
      <c r="D23" s="27">
        <v>21</v>
      </c>
      <c r="E23">
        <v>3.4</v>
      </c>
    </row>
    <row r="24" spans="1:5" x14ac:dyDescent="0.25">
      <c r="A24" t="str">
        <f t="shared" si="0"/>
        <v>0to22</v>
      </c>
      <c r="B24">
        <f t="shared" si="1"/>
        <v>22</v>
      </c>
      <c r="C24" s="27">
        <v>0</v>
      </c>
      <c r="D24" s="27">
        <v>22</v>
      </c>
      <c r="E24">
        <v>2.4</v>
      </c>
    </row>
    <row r="25" spans="1:5" x14ac:dyDescent="0.25">
      <c r="A25" t="str">
        <f t="shared" si="0"/>
        <v>0to23</v>
      </c>
      <c r="B25">
        <f t="shared" si="1"/>
        <v>23</v>
      </c>
      <c r="C25" s="27">
        <v>0</v>
      </c>
      <c r="D25" s="27">
        <v>23</v>
      </c>
      <c r="E25">
        <v>6.4</v>
      </c>
    </row>
    <row r="26" spans="1:5" x14ac:dyDescent="0.25">
      <c r="A26" t="str">
        <f t="shared" si="0"/>
        <v>0to24</v>
      </c>
      <c r="B26">
        <f t="shared" si="1"/>
        <v>24</v>
      </c>
      <c r="C26" s="27">
        <v>0</v>
      </c>
      <c r="D26" s="27">
        <v>24</v>
      </c>
      <c r="E26">
        <v>2.4</v>
      </c>
    </row>
    <row r="27" spans="1:5" x14ac:dyDescent="0.25">
      <c r="A27" t="str">
        <f t="shared" si="0"/>
        <v>0to25</v>
      </c>
      <c r="B27">
        <f t="shared" si="1"/>
        <v>25</v>
      </c>
      <c r="C27" s="27">
        <v>0</v>
      </c>
      <c r="D27" s="27">
        <v>25</v>
      </c>
      <c r="E27">
        <v>5</v>
      </c>
    </row>
    <row r="28" spans="1:5" x14ac:dyDescent="0.25">
      <c r="A28" t="str">
        <f t="shared" si="0"/>
        <v>0to26</v>
      </c>
      <c r="B28">
        <f t="shared" si="1"/>
        <v>26</v>
      </c>
      <c r="C28" s="27">
        <v>0</v>
      </c>
      <c r="D28" s="27">
        <v>26</v>
      </c>
      <c r="E28">
        <v>3.6</v>
      </c>
    </row>
    <row r="29" spans="1:5" x14ac:dyDescent="0.25">
      <c r="A29" t="str">
        <f t="shared" si="0"/>
        <v>1to1</v>
      </c>
      <c r="B29">
        <f t="shared" si="1"/>
        <v>27</v>
      </c>
      <c r="C29" s="27">
        <v>1</v>
      </c>
      <c r="D29" s="27">
        <v>1</v>
      </c>
      <c r="E29">
        <v>0</v>
      </c>
    </row>
    <row r="30" spans="1:5" x14ac:dyDescent="0.25">
      <c r="A30" t="str">
        <f t="shared" si="0"/>
        <v>1to2</v>
      </c>
      <c r="B30">
        <f t="shared" si="1"/>
        <v>28</v>
      </c>
      <c r="C30" s="27">
        <v>1</v>
      </c>
      <c r="D30" s="27">
        <v>2</v>
      </c>
      <c r="E30">
        <v>7.1</v>
      </c>
    </row>
    <row r="31" spans="1:5" x14ac:dyDescent="0.25">
      <c r="A31" t="str">
        <f t="shared" si="0"/>
        <v>1to3</v>
      </c>
      <c r="B31">
        <f t="shared" si="1"/>
        <v>29</v>
      </c>
      <c r="C31" s="27">
        <v>1</v>
      </c>
      <c r="D31" s="27">
        <v>3</v>
      </c>
      <c r="E31">
        <v>6.4</v>
      </c>
    </row>
    <row r="32" spans="1:5" x14ac:dyDescent="0.25">
      <c r="A32" t="str">
        <f t="shared" si="0"/>
        <v>1to4</v>
      </c>
      <c r="B32">
        <f t="shared" si="1"/>
        <v>30</v>
      </c>
      <c r="C32" s="27">
        <v>1</v>
      </c>
      <c r="D32" s="27">
        <v>4</v>
      </c>
      <c r="E32">
        <v>6</v>
      </c>
    </row>
    <row r="33" spans="1:5" x14ac:dyDescent="0.25">
      <c r="A33" t="str">
        <f t="shared" si="0"/>
        <v>1to5</v>
      </c>
      <c r="B33">
        <f t="shared" si="1"/>
        <v>31</v>
      </c>
      <c r="C33" s="27">
        <v>1</v>
      </c>
      <c r="D33" s="27">
        <v>5</v>
      </c>
      <c r="E33">
        <v>4.8</v>
      </c>
    </row>
    <row r="34" spans="1:5" x14ac:dyDescent="0.25">
      <c r="A34" t="str">
        <f t="shared" si="0"/>
        <v>1to6</v>
      </c>
      <c r="B34">
        <f t="shared" si="1"/>
        <v>32</v>
      </c>
      <c r="C34" s="27">
        <v>1</v>
      </c>
      <c r="D34" s="27">
        <v>6</v>
      </c>
      <c r="E34">
        <v>1.6</v>
      </c>
    </row>
    <row r="35" spans="1:5" x14ac:dyDescent="0.25">
      <c r="A35" t="str">
        <f t="shared" si="0"/>
        <v>1to7</v>
      </c>
      <c r="B35">
        <f t="shared" si="1"/>
        <v>33</v>
      </c>
      <c r="C35" s="27">
        <v>1</v>
      </c>
      <c r="D35" s="27">
        <v>7</v>
      </c>
      <c r="E35">
        <v>2.8</v>
      </c>
    </row>
    <row r="36" spans="1:5" x14ac:dyDescent="0.25">
      <c r="A36" t="str">
        <f t="shared" si="0"/>
        <v>1to8</v>
      </c>
      <c r="B36">
        <f t="shared" si="1"/>
        <v>34</v>
      </c>
      <c r="C36" s="27">
        <v>1</v>
      </c>
      <c r="D36" s="27">
        <v>8</v>
      </c>
      <c r="E36">
        <v>4.8</v>
      </c>
    </row>
    <row r="37" spans="1:5" x14ac:dyDescent="0.25">
      <c r="A37" t="str">
        <f t="shared" si="0"/>
        <v>1to9</v>
      </c>
      <c r="B37">
        <f t="shared" si="1"/>
        <v>35</v>
      </c>
      <c r="C37" s="27">
        <v>1</v>
      </c>
      <c r="D37" s="27">
        <v>9</v>
      </c>
      <c r="E37">
        <v>6.3</v>
      </c>
    </row>
    <row r="38" spans="1:5" x14ac:dyDescent="0.25">
      <c r="A38" t="str">
        <f t="shared" si="0"/>
        <v>1to10</v>
      </c>
      <c r="B38">
        <f t="shared" si="1"/>
        <v>36</v>
      </c>
      <c r="C38" s="27">
        <v>1</v>
      </c>
      <c r="D38" s="27">
        <v>10</v>
      </c>
      <c r="E38">
        <v>7.3</v>
      </c>
    </row>
    <row r="39" spans="1:5" x14ac:dyDescent="0.25">
      <c r="A39" t="str">
        <f t="shared" si="0"/>
        <v>1to11</v>
      </c>
      <c r="B39">
        <f t="shared" si="1"/>
        <v>37</v>
      </c>
      <c r="C39" s="27">
        <v>1</v>
      </c>
      <c r="D39" s="27">
        <v>11</v>
      </c>
      <c r="E39">
        <v>5.3</v>
      </c>
    </row>
    <row r="40" spans="1:5" x14ac:dyDescent="0.25">
      <c r="A40" t="str">
        <f t="shared" si="0"/>
        <v>1to12</v>
      </c>
      <c r="B40">
        <f t="shared" si="1"/>
        <v>38</v>
      </c>
      <c r="C40" s="27">
        <v>1</v>
      </c>
      <c r="D40" s="27">
        <v>12</v>
      </c>
      <c r="E40">
        <v>4.8</v>
      </c>
    </row>
    <row r="41" spans="1:5" x14ac:dyDescent="0.25">
      <c r="A41" t="str">
        <f t="shared" si="0"/>
        <v>1to13</v>
      </c>
      <c r="B41">
        <f t="shared" si="1"/>
        <v>39</v>
      </c>
      <c r="C41" s="27">
        <v>1</v>
      </c>
      <c r="D41" s="27">
        <v>13</v>
      </c>
      <c r="E41">
        <v>3</v>
      </c>
    </row>
    <row r="42" spans="1:5" x14ac:dyDescent="0.25">
      <c r="A42" t="str">
        <f t="shared" si="0"/>
        <v>1to14</v>
      </c>
      <c r="B42">
        <f t="shared" si="1"/>
        <v>40</v>
      </c>
      <c r="C42" s="27">
        <v>1</v>
      </c>
      <c r="D42" s="27">
        <v>14</v>
      </c>
      <c r="E42">
        <v>4.5999999999999996</v>
      </c>
    </row>
    <row r="43" spans="1:5" x14ac:dyDescent="0.25">
      <c r="A43" t="str">
        <f t="shared" si="0"/>
        <v>1to15</v>
      </c>
      <c r="B43">
        <f t="shared" si="1"/>
        <v>41</v>
      </c>
      <c r="C43" s="27">
        <v>1</v>
      </c>
      <c r="D43" s="27">
        <v>15</v>
      </c>
      <c r="E43">
        <v>4.5</v>
      </c>
    </row>
    <row r="44" spans="1:5" x14ac:dyDescent="0.25">
      <c r="A44" t="str">
        <f t="shared" si="0"/>
        <v>1to16</v>
      </c>
      <c r="B44">
        <f t="shared" si="1"/>
        <v>42</v>
      </c>
      <c r="C44" s="27">
        <v>1</v>
      </c>
      <c r="D44" s="27">
        <v>16</v>
      </c>
      <c r="E44">
        <v>7.4</v>
      </c>
    </row>
    <row r="45" spans="1:5" x14ac:dyDescent="0.25">
      <c r="A45" t="str">
        <f t="shared" si="0"/>
        <v>1to17</v>
      </c>
      <c r="B45">
        <f t="shared" si="1"/>
        <v>43</v>
      </c>
      <c r="C45" s="27">
        <v>1</v>
      </c>
      <c r="D45" s="27">
        <v>17</v>
      </c>
      <c r="E45">
        <v>6</v>
      </c>
    </row>
    <row r="46" spans="1:5" x14ac:dyDescent="0.25">
      <c r="A46" t="str">
        <f t="shared" si="0"/>
        <v>1to18</v>
      </c>
      <c r="B46">
        <f t="shared" si="1"/>
        <v>44</v>
      </c>
      <c r="C46" s="27">
        <v>1</v>
      </c>
      <c r="D46" s="27">
        <v>18</v>
      </c>
      <c r="E46">
        <v>5</v>
      </c>
    </row>
    <row r="47" spans="1:5" x14ac:dyDescent="0.25">
      <c r="A47" t="str">
        <f t="shared" si="0"/>
        <v>1to19</v>
      </c>
      <c r="B47">
        <f t="shared" si="1"/>
        <v>45</v>
      </c>
      <c r="C47" s="27">
        <v>1</v>
      </c>
      <c r="D47" s="27">
        <v>19</v>
      </c>
      <c r="E47">
        <v>4.8</v>
      </c>
    </row>
    <row r="48" spans="1:5" x14ac:dyDescent="0.25">
      <c r="A48" t="str">
        <f t="shared" si="0"/>
        <v>1to20</v>
      </c>
      <c r="B48">
        <f t="shared" si="1"/>
        <v>46</v>
      </c>
      <c r="C48" s="27">
        <v>1</v>
      </c>
      <c r="D48" s="27">
        <v>20</v>
      </c>
      <c r="E48">
        <v>9.5</v>
      </c>
    </row>
    <row r="49" spans="1:5" x14ac:dyDescent="0.25">
      <c r="A49" t="str">
        <f t="shared" si="0"/>
        <v>1to21</v>
      </c>
      <c r="B49">
        <f t="shared" si="1"/>
        <v>47</v>
      </c>
      <c r="C49" s="27">
        <v>1</v>
      </c>
      <c r="D49" s="27">
        <v>21</v>
      </c>
      <c r="E49">
        <v>10.9</v>
      </c>
    </row>
    <row r="50" spans="1:5" x14ac:dyDescent="0.25">
      <c r="A50" t="str">
        <f t="shared" si="0"/>
        <v>1to22</v>
      </c>
      <c r="B50">
        <f t="shared" si="1"/>
        <v>48</v>
      </c>
      <c r="C50" s="27">
        <v>1</v>
      </c>
      <c r="D50" s="27">
        <v>22</v>
      </c>
      <c r="E50">
        <v>8.3000000000000007</v>
      </c>
    </row>
    <row r="51" spans="1:5" x14ac:dyDescent="0.25">
      <c r="A51" t="str">
        <f t="shared" si="0"/>
        <v>1to23</v>
      </c>
      <c r="B51">
        <f t="shared" si="1"/>
        <v>49</v>
      </c>
      <c r="C51" s="27">
        <v>1</v>
      </c>
      <c r="D51" s="27">
        <v>23</v>
      </c>
      <c r="E51">
        <v>6.9</v>
      </c>
    </row>
    <row r="52" spans="1:5" x14ac:dyDescent="0.25">
      <c r="A52" t="str">
        <f t="shared" si="0"/>
        <v>1to24</v>
      </c>
      <c r="B52">
        <f t="shared" si="1"/>
        <v>50</v>
      </c>
      <c r="C52" s="27">
        <v>1</v>
      </c>
      <c r="D52" s="27">
        <v>24</v>
      </c>
      <c r="E52">
        <v>10</v>
      </c>
    </row>
    <row r="53" spans="1:5" x14ac:dyDescent="0.25">
      <c r="A53" t="str">
        <f t="shared" si="0"/>
        <v>1to25</v>
      </c>
      <c r="B53">
        <f t="shared" si="1"/>
        <v>51</v>
      </c>
      <c r="C53" s="27">
        <v>1</v>
      </c>
      <c r="D53" s="27">
        <v>25</v>
      </c>
      <c r="E53">
        <v>4.4000000000000004</v>
      </c>
    </row>
    <row r="54" spans="1:5" x14ac:dyDescent="0.25">
      <c r="A54" t="str">
        <f t="shared" si="0"/>
        <v>1to26</v>
      </c>
      <c r="B54">
        <f t="shared" si="1"/>
        <v>52</v>
      </c>
      <c r="C54" s="27">
        <v>1</v>
      </c>
      <c r="D54" s="27">
        <v>26</v>
      </c>
      <c r="E54">
        <v>13</v>
      </c>
    </row>
    <row r="55" spans="1:5" x14ac:dyDescent="0.25">
      <c r="A55" t="str">
        <f t="shared" si="0"/>
        <v>2to2</v>
      </c>
      <c r="B55">
        <f t="shared" si="1"/>
        <v>54</v>
      </c>
      <c r="C55" s="27">
        <v>2</v>
      </c>
      <c r="D55" s="27">
        <v>2</v>
      </c>
      <c r="E55">
        <v>0</v>
      </c>
    </row>
    <row r="56" spans="1:5" x14ac:dyDescent="0.25">
      <c r="A56" t="str">
        <f t="shared" si="0"/>
        <v>2to3</v>
      </c>
      <c r="B56">
        <f t="shared" si="1"/>
        <v>55</v>
      </c>
      <c r="C56" s="27">
        <v>2</v>
      </c>
      <c r="D56" s="27">
        <v>3</v>
      </c>
      <c r="E56">
        <v>9.1999999999999993</v>
      </c>
    </row>
    <row r="57" spans="1:5" x14ac:dyDescent="0.25">
      <c r="A57" t="str">
        <f t="shared" si="0"/>
        <v>2to4</v>
      </c>
      <c r="B57">
        <f t="shared" si="1"/>
        <v>56</v>
      </c>
      <c r="C57" s="27">
        <v>2</v>
      </c>
      <c r="D57" s="27">
        <v>4</v>
      </c>
      <c r="E57">
        <v>4.4000000000000004</v>
      </c>
    </row>
    <row r="58" spans="1:5" x14ac:dyDescent="0.25">
      <c r="A58" t="str">
        <f t="shared" si="0"/>
        <v>2to5</v>
      </c>
      <c r="B58">
        <f t="shared" si="1"/>
        <v>57</v>
      </c>
      <c r="C58" s="27">
        <v>2</v>
      </c>
      <c r="D58" s="27">
        <v>5</v>
      </c>
      <c r="E58">
        <v>2.8</v>
      </c>
    </row>
    <row r="59" spans="1:5" x14ac:dyDescent="0.25">
      <c r="A59" t="str">
        <f t="shared" si="0"/>
        <v>2to6</v>
      </c>
      <c r="B59">
        <f t="shared" si="1"/>
        <v>58</v>
      </c>
      <c r="C59" s="27">
        <v>2</v>
      </c>
      <c r="D59" s="27">
        <v>6</v>
      </c>
      <c r="E59">
        <v>8.6</v>
      </c>
    </row>
    <row r="60" spans="1:5" x14ac:dyDescent="0.25">
      <c r="A60" t="str">
        <f t="shared" si="0"/>
        <v>2to7</v>
      </c>
      <c r="B60">
        <f t="shared" si="1"/>
        <v>59</v>
      </c>
      <c r="C60" s="27">
        <v>2</v>
      </c>
      <c r="D60" s="27">
        <v>7</v>
      </c>
      <c r="E60">
        <v>6.3</v>
      </c>
    </row>
    <row r="61" spans="1:5" x14ac:dyDescent="0.25">
      <c r="A61" t="str">
        <f t="shared" si="0"/>
        <v>2to8</v>
      </c>
      <c r="B61">
        <f t="shared" si="1"/>
        <v>60</v>
      </c>
      <c r="C61" s="27">
        <v>2</v>
      </c>
      <c r="D61" s="27">
        <v>8</v>
      </c>
      <c r="E61">
        <v>5.3</v>
      </c>
    </row>
    <row r="62" spans="1:5" x14ac:dyDescent="0.25">
      <c r="A62" t="str">
        <f t="shared" si="0"/>
        <v>2to9</v>
      </c>
      <c r="B62">
        <f t="shared" si="1"/>
        <v>61</v>
      </c>
      <c r="C62" s="27">
        <v>2</v>
      </c>
      <c r="D62" s="27">
        <v>9</v>
      </c>
      <c r="E62">
        <v>1.6</v>
      </c>
    </row>
    <row r="63" spans="1:5" x14ac:dyDescent="0.25">
      <c r="A63" t="str">
        <f t="shared" si="0"/>
        <v>2to10</v>
      </c>
      <c r="B63">
        <f t="shared" si="1"/>
        <v>62</v>
      </c>
      <c r="C63" s="27">
        <v>2</v>
      </c>
      <c r="D63" s="27">
        <v>10</v>
      </c>
      <c r="E63">
        <v>10.4</v>
      </c>
    </row>
    <row r="64" spans="1:5" x14ac:dyDescent="0.25">
      <c r="A64" t="str">
        <f t="shared" si="0"/>
        <v>2to11</v>
      </c>
      <c r="B64">
        <f t="shared" si="1"/>
        <v>63</v>
      </c>
      <c r="C64" s="27">
        <v>2</v>
      </c>
      <c r="D64" s="27">
        <v>11</v>
      </c>
      <c r="E64">
        <v>3</v>
      </c>
    </row>
    <row r="65" spans="1:5" x14ac:dyDescent="0.25">
      <c r="A65" t="str">
        <f t="shared" si="0"/>
        <v>2to12</v>
      </c>
      <c r="B65">
        <f t="shared" si="1"/>
        <v>64</v>
      </c>
      <c r="C65" s="27">
        <v>2</v>
      </c>
      <c r="D65" s="27">
        <v>12</v>
      </c>
      <c r="E65">
        <v>5.3</v>
      </c>
    </row>
    <row r="66" spans="1:5" x14ac:dyDescent="0.25">
      <c r="A66" t="str">
        <f t="shared" si="0"/>
        <v>2to13</v>
      </c>
      <c r="B66">
        <f t="shared" si="1"/>
        <v>65</v>
      </c>
      <c r="C66" s="27">
        <v>2</v>
      </c>
      <c r="D66" s="27">
        <v>13</v>
      </c>
      <c r="E66">
        <v>6.5</v>
      </c>
    </row>
    <row r="67" spans="1:5" x14ac:dyDescent="0.25">
      <c r="A67" t="str">
        <f t="shared" ref="A67:A130" si="2">C67&amp;"to"&amp;D67</f>
        <v>2to14</v>
      </c>
      <c r="B67">
        <f t="shared" ref="B67:B130" si="3">C67*26+D67</f>
        <v>66</v>
      </c>
      <c r="C67" s="27">
        <v>2</v>
      </c>
      <c r="D67" s="27">
        <v>14</v>
      </c>
      <c r="E67">
        <v>5.6</v>
      </c>
    </row>
    <row r="68" spans="1:5" x14ac:dyDescent="0.25">
      <c r="A68" t="str">
        <f t="shared" si="2"/>
        <v>2to15</v>
      </c>
      <c r="B68">
        <f t="shared" si="3"/>
        <v>67</v>
      </c>
      <c r="C68" s="27">
        <v>2</v>
      </c>
      <c r="D68" s="27">
        <v>15</v>
      </c>
      <c r="E68">
        <v>5.8</v>
      </c>
    </row>
    <row r="69" spans="1:5" x14ac:dyDescent="0.25">
      <c r="A69" t="str">
        <f t="shared" si="2"/>
        <v>2to16</v>
      </c>
      <c r="B69">
        <f t="shared" si="3"/>
        <v>68</v>
      </c>
      <c r="C69" s="27">
        <v>2</v>
      </c>
      <c r="D69" s="27">
        <v>16</v>
      </c>
      <c r="E69">
        <v>5.7</v>
      </c>
    </row>
    <row r="70" spans="1:5" x14ac:dyDescent="0.25">
      <c r="A70" t="str">
        <f t="shared" si="2"/>
        <v>2to17</v>
      </c>
      <c r="B70">
        <f t="shared" si="3"/>
        <v>69</v>
      </c>
      <c r="C70" s="27">
        <v>2</v>
      </c>
      <c r="D70" s="27">
        <v>17</v>
      </c>
      <c r="E70">
        <v>4.0999999999999996</v>
      </c>
    </row>
    <row r="71" spans="1:5" x14ac:dyDescent="0.25">
      <c r="A71" t="str">
        <f t="shared" si="2"/>
        <v>2to18</v>
      </c>
      <c r="B71">
        <f t="shared" si="3"/>
        <v>70</v>
      </c>
      <c r="C71" s="27">
        <v>2</v>
      </c>
      <c r="D71" s="27">
        <v>18</v>
      </c>
      <c r="E71">
        <v>3.6</v>
      </c>
    </row>
    <row r="72" spans="1:5" x14ac:dyDescent="0.25">
      <c r="A72" t="str">
        <f t="shared" si="2"/>
        <v>2to19</v>
      </c>
      <c r="B72">
        <f t="shared" si="3"/>
        <v>71</v>
      </c>
      <c r="C72" s="27">
        <v>2</v>
      </c>
      <c r="D72" s="27">
        <v>19</v>
      </c>
      <c r="E72">
        <v>4.3</v>
      </c>
    </row>
    <row r="73" spans="1:5" x14ac:dyDescent="0.25">
      <c r="A73" t="str">
        <f t="shared" si="2"/>
        <v>2to20</v>
      </c>
      <c r="B73">
        <f t="shared" si="3"/>
        <v>72</v>
      </c>
      <c r="C73" s="27">
        <v>2</v>
      </c>
      <c r="D73" s="27">
        <v>20</v>
      </c>
      <c r="E73">
        <v>3.3</v>
      </c>
    </row>
    <row r="74" spans="1:5" x14ac:dyDescent="0.25">
      <c r="A74" t="str">
        <f t="shared" si="2"/>
        <v>2to21</v>
      </c>
      <c r="B74">
        <f t="shared" si="3"/>
        <v>73</v>
      </c>
      <c r="C74" s="27">
        <v>2</v>
      </c>
      <c r="D74" s="27">
        <v>21</v>
      </c>
      <c r="E74">
        <v>5</v>
      </c>
    </row>
    <row r="75" spans="1:5" x14ac:dyDescent="0.25">
      <c r="A75" t="str">
        <f t="shared" si="2"/>
        <v>2to22</v>
      </c>
      <c r="B75">
        <f t="shared" si="3"/>
        <v>74</v>
      </c>
      <c r="C75" s="27">
        <v>2</v>
      </c>
      <c r="D75" s="27">
        <v>22</v>
      </c>
      <c r="E75">
        <v>6.1</v>
      </c>
    </row>
    <row r="76" spans="1:5" x14ac:dyDescent="0.25">
      <c r="A76" t="str">
        <f t="shared" si="2"/>
        <v>2to23</v>
      </c>
      <c r="B76">
        <f t="shared" si="3"/>
        <v>75</v>
      </c>
      <c r="C76" s="27">
        <v>2</v>
      </c>
      <c r="D76" s="27">
        <v>23</v>
      </c>
      <c r="E76">
        <v>9.6999999999999993</v>
      </c>
    </row>
    <row r="77" spans="1:5" x14ac:dyDescent="0.25">
      <c r="A77" t="str">
        <f t="shared" si="2"/>
        <v>2to24</v>
      </c>
      <c r="B77">
        <f t="shared" si="3"/>
        <v>76</v>
      </c>
      <c r="C77" s="27">
        <v>2</v>
      </c>
      <c r="D77" s="27">
        <v>24</v>
      </c>
      <c r="E77">
        <v>6.1</v>
      </c>
    </row>
    <row r="78" spans="1:5" x14ac:dyDescent="0.25">
      <c r="A78" t="str">
        <f t="shared" si="2"/>
        <v>2to25</v>
      </c>
      <c r="B78">
        <f t="shared" si="3"/>
        <v>77</v>
      </c>
      <c r="C78" s="27">
        <v>2</v>
      </c>
      <c r="D78" s="27">
        <v>25</v>
      </c>
      <c r="E78">
        <v>2.8</v>
      </c>
    </row>
    <row r="79" spans="1:5" x14ac:dyDescent="0.25">
      <c r="A79" t="str">
        <f t="shared" si="2"/>
        <v>2to26</v>
      </c>
      <c r="B79">
        <f t="shared" si="3"/>
        <v>78</v>
      </c>
      <c r="C79" s="27">
        <v>2</v>
      </c>
      <c r="D79" s="27">
        <v>26</v>
      </c>
      <c r="E79">
        <v>7.4</v>
      </c>
    </row>
    <row r="80" spans="1:5" x14ac:dyDescent="0.25">
      <c r="A80" t="str">
        <f t="shared" si="2"/>
        <v>3to3</v>
      </c>
      <c r="B80">
        <f t="shared" si="3"/>
        <v>81</v>
      </c>
      <c r="C80" s="27">
        <v>3</v>
      </c>
      <c r="D80" s="27">
        <v>3</v>
      </c>
      <c r="E80">
        <v>0</v>
      </c>
    </row>
    <row r="81" spans="1:5" x14ac:dyDescent="0.25">
      <c r="A81" t="str">
        <f t="shared" si="2"/>
        <v>3to4</v>
      </c>
      <c r="B81">
        <f t="shared" si="3"/>
        <v>82</v>
      </c>
      <c r="C81" s="27">
        <v>3</v>
      </c>
      <c r="D81" s="27">
        <v>4</v>
      </c>
      <c r="E81">
        <v>5.6</v>
      </c>
    </row>
    <row r="82" spans="1:5" x14ac:dyDescent="0.25">
      <c r="A82" t="str">
        <f t="shared" si="2"/>
        <v>3to5</v>
      </c>
      <c r="B82">
        <f t="shared" si="3"/>
        <v>83</v>
      </c>
      <c r="C82" s="27">
        <v>3</v>
      </c>
      <c r="D82" s="27">
        <v>5</v>
      </c>
      <c r="E82">
        <v>6.9</v>
      </c>
    </row>
    <row r="83" spans="1:5" x14ac:dyDescent="0.25">
      <c r="A83" t="str">
        <f t="shared" si="2"/>
        <v>3to6</v>
      </c>
      <c r="B83">
        <f t="shared" si="3"/>
        <v>84</v>
      </c>
      <c r="C83" s="27">
        <v>3</v>
      </c>
      <c r="D83" s="27">
        <v>6</v>
      </c>
      <c r="E83">
        <v>8.6</v>
      </c>
    </row>
    <row r="84" spans="1:5" x14ac:dyDescent="0.25">
      <c r="A84" t="str">
        <f t="shared" si="2"/>
        <v>3to7</v>
      </c>
      <c r="B84">
        <f t="shared" si="3"/>
        <v>85</v>
      </c>
      <c r="C84" s="27">
        <v>3</v>
      </c>
      <c r="D84" s="27">
        <v>7</v>
      </c>
      <c r="E84">
        <v>4</v>
      </c>
    </row>
    <row r="85" spans="1:5" x14ac:dyDescent="0.25">
      <c r="A85" t="str">
        <f t="shared" si="2"/>
        <v>3to8</v>
      </c>
      <c r="B85">
        <f t="shared" si="3"/>
        <v>86</v>
      </c>
      <c r="C85" s="27">
        <v>3</v>
      </c>
      <c r="D85" s="27">
        <v>8</v>
      </c>
      <c r="E85">
        <v>11.1</v>
      </c>
    </row>
    <row r="86" spans="1:5" x14ac:dyDescent="0.25">
      <c r="A86" t="str">
        <f t="shared" si="2"/>
        <v>3to9</v>
      </c>
      <c r="B86">
        <f t="shared" si="3"/>
        <v>87</v>
      </c>
      <c r="C86" s="27">
        <v>3</v>
      </c>
      <c r="D86" s="27">
        <v>9</v>
      </c>
      <c r="E86">
        <v>7.3</v>
      </c>
    </row>
    <row r="87" spans="1:5" x14ac:dyDescent="0.25">
      <c r="A87" t="str">
        <f t="shared" si="2"/>
        <v>3to10</v>
      </c>
      <c r="B87">
        <f t="shared" si="3"/>
        <v>88</v>
      </c>
      <c r="C87" s="27">
        <v>3</v>
      </c>
      <c r="D87" s="27">
        <v>10</v>
      </c>
      <c r="E87">
        <v>1</v>
      </c>
    </row>
    <row r="88" spans="1:5" x14ac:dyDescent="0.25">
      <c r="A88" t="str">
        <f t="shared" si="2"/>
        <v>3to11</v>
      </c>
      <c r="B88">
        <f t="shared" si="3"/>
        <v>89</v>
      </c>
      <c r="C88" s="27">
        <v>3</v>
      </c>
      <c r="D88" s="27">
        <v>11</v>
      </c>
      <c r="E88">
        <v>6.4</v>
      </c>
    </row>
    <row r="89" spans="1:5" x14ac:dyDescent="0.25">
      <c r="A89" t="str">
        <f t="shared" si="2"/>
        <v>3to12</v>
      </c>
      <c r="B89">
        <f t="shared" si="3"/>
        <v>90</v>
      </c>
      <c r="C89" s="27">
        <v>3</v>
      </c>
      <c r="D89" s="27">
        <v>12</v>
      </c>
      <c r="E89">
        <v>11.1</v>
      </c>
    </row>
    <row r="90" spans="1:5" x14ac:dyDescent="0.25">
      <c r="A90" t="str">
        <f t="shared" si="2"/>
        <v>3to13</v>
      </c>
      <c r="B90">
        <f t="shared" si="3"/>
        <v>91</v>
      </c>
      <c r="C90" s="27">
        <v>3</v>
      </c>
      <c r="D90" s="27">
        <v>13</v>
      </c>
      <c r="E90">
        <v>3.9</v>
      </c>
    </row>
    <row r="91" spans="1:5" x14ac:dyDescent="0.25">
      <c r="A91" t="str">
        <f t="shared" si="2"/>
        <v>3to14</v>
      </c>
      <c r="B91">
        <f t="shared" si="3"/>
        <v>92</v>
      </c>
      <c r="C91" s="27">
        <v>3</v>
      </c>
      <c r="D91" s="27">
        <v>14</v>
      </c>
      <c r="E91">
        <v>4.3</v>
      </c>
    </row>
    <row r="92" spans="1:5" x14ac:dyDescent="0.25">
      <c r="A92" t="str">
        <f t="shared" si="2"/>
        <v>3to15</v>
      </c>
      <c r="B92">
        <f t="shared" si="3"/>
        <v>93</v>
      </c>
      <c r="C92" s="27">
        <v>3</v>
      </c>
      <c r="D92" s="27">
        <v>15</v>
      </c>
      <c r="E92">
        <v>4.4000000000000004</v>
      </c>
    </row>
    <row r="93" spans="1:5" x14ac:dyDescent="0.25">
      <c r="A93" t="str">
        <f t="shared" si="2"/>
        <v>3to16</v>
      </c>
      <c r="B93">
        <f t="shared" si="3"/>
        <v>94</v>
      </c>
      <c r="C93" s="27">
        <v>3</v>
      </c>
      <c r="D93" s="27">
        <v>16</v>
      </c>
      <c r="E93">
        <v>7.2</v>
      </c>
    </row>
    <row r="94" spans="1:5" x14ac:dyDescent="0.25">
      <c r="A94" t="str">
        <f t="shared" si="2"/>
        <v>3to17</v>
      </c>
      <c r="B94">
        <f t="shared" si="3"/>
        <v>95</v>
      </c>
      <c r="C94" s="27">
        <v>3</v>
      </c>
      <c r="D94" s="27">
        <v>17</v>
      </c>
      <c r="E94">
        <v>5.3</v>
      </c>
    </row>
    <row r="95" spans="1:5" x14ac:dyDescent="0.25">
      <c r="A95" t="str">
        <f t="shared" si="2"/>
        <v>3to18</v>
      </c>
      <c r="B95">
        <f t="shared" si="3"/>
        <v>96</v>
      </c>
      <c r="C95" s="27">
        <v>3</v>
      </c>
      <c r="D95" s="27">
        <v>18</v>
      </c>
      <c r="E95">
        <v>6</v>
      </c>
    </row>
    <row r="96" spans="1:5" x14ac:dyDescent="0.25">
      <c r="A96" t="str">
        <f t="shared" si="2"/>
        <v>3to19</v>
      </c>
      <c r="B96">
        <f t="shared" si="3"/>
        <v>97</v>
      </c>
      <c r="C96" s="27">
        <v>3</v>
      </c>
      <c r="D96" s="27">
        <v>19</v>
      </c>
      <c r="E96">
        <v>10.6</v>
      </c>
    </row>
    <row r="97" spans="1:5" x14ac:dyDescent="0.25">
      <c r="A97" t="str">
        <f t="shared" si="2"/>
        <v>3to20</v>
      </c>
      <c r="B97">
        <f t="shared" si="3"/>
        <v>98</v>
      </c>
      <c r="C97" s="27">
        <v>3</v>
      </c>
      <c r="D97" s="27">
        <v>20</v>
      </c>
      <c r="E97">
        <v>5.9</v>
      </c>
    </row>
    <row r="98" spans="1:5" x14ac:dyDescent="0.25">
      <c r="A98" t="str">
        <f t="shared" si="2"/>
        <v>3to21</v>
      </c>
      <c r="B98">
        <f t="shared" si="3"/>
        <v>99</v>
      </c>
      <c r="C98" s="27">
        <v>3</v>
      </c>
      <c r="D98" s="27">
        <v>21</v>
      </c>
      <c r="E98">
        <v>7.4</v>
      </c>
    </row>
    <row r="99" spans="1:5" x14ac:dyDescent="0.25">
      <c r="A99" t="str">
        <f t="shared" si="2"/>
        <v>3to22</v>
      </c>
      <c r="B99">
        <f t="shared" si="3"/>
        <v>100</v>
      </c>
      <c r="C99" s="27">
        <v>3</v>
      </c>
      <c r="D99" s="27">
        <v>22</v>
      </c>
      <c r="E99">
        <v>4.7</v>
      </c>
    </row>
    <row r="100" spans="1:5" x14ac:dyDescent="0.25">
      <c r="A100" t="str">
        <f t="shared" si="2"/>
        <v>3to23</v>
      </c>
      <c r="B100">
        <f t="shared" si="3"/>
        <v>101</v>
      </c>
      <c r="C100" s="27">
        <v>3</v>
      </c>
      <c r="D100" s="27">
        <v>23</v>
      </c>
      <c r="E100">
        <v>0.6</v>
      </c>
    </row>
    <row r="101" spans="1:5" x14ac:dyDescent="0.25">
      <c r="A101" t="str">
        <f t="shared" si="2"/>
        <v>3to24</v>
      </c>
      <c r="B101">
        <f t="shared" si="3"/>
        <v>102</v>
      </c>
      <c r="C101" s="27">
        <v>3</v>
      </c>
      <c r="D101" s="27">
        <v>24</v>
      </c>
      <c r="E101">
        <v>6.4</v>
      </c>
    </row>
    <row r="102" spans="1:5" x14ac:dyDescent="0.25">
      <c r="A102" t="str">
        <f t="shared" si="2"/>
        <v>3to25</v>
      </c>
      <c r="B102">
        <f t="shared" si="3"/>
        <v>103</v>
      </c>
      <c r="C102" s="27">
        <v>3</v>
      </c>
      <c r="D102" s="27">
        <v>25</v>
      </c>
      <c r="E102">
        <v>10.1</v>
      </c>
    </row>
    <row r="103" spans="1:5" x14ac:dyDescent="0.25">
      <c r="A103" t="str">
        <f t="shared" si="2"/>
        <v>3to26</v>
      </c>
      <c r="B103">
        <f t="shared" si="3"/>
        <v>104</v>
      </c>
      <c r="C103" s="27">
        <v>3</v>
      </c>
      <c r="D103" s="27">
        <v>26</v>
      </c>
      <c r="E103">
        <v>10.1</v>
      </c>
    </row>
    <row r="104" spans="1:5" x14ac:dyDescent="0.25">
      <c r="A104" t="str">
        <f t="shared" si="2"/>
        <v>4to4</v>
      </c>
      <c r="B104">
        <f t="shared" si="3"/>
        <v>108</v>
      </c>
      <c r="C104" s="27">
        <v>4</v>
      </c>
      <c r="D104" s="27">
        <v>4</v>
      </c>
      <c r="E104">
        <v>0</v>
      </c>
    </row>
    <row r="105" spans="1:5" x14ac:dyDescent="0.25">
      <c r="A105" t="str">
        <f t="shared" si="2"/>
        <v>4to5</v>
      </c>
      <c r="B105">
        <f t="shared" si="3"/>
        <v>109</v>
      </c>
      <c r="C105" s="27">
        <v>4</v>
      </c>
      <c r="D105" s="27">
        <v>5</v>
      </c>
      <c r="E105">
        <v>1.9</v>
      </c>
    </row>
    <row r="106" spans="1:5" x14ac:dyDescent="0.25">
      <c r="A106" t="str">
        <f t="shared" si="2"/>
        <v>4to6</v>
      </c>
      <c r="B106">
        <f t="shared" si="3"/>
        <v>110</v>
      </c>
      <c r="C106" s="27">
        <v>4</v>
      </c>
      <c r="D106" s="27">
        <v>6</v>
      </c>
      <c r="E106">
        <v>7.9</v>
      </c>
    </row>
    <row r="107" spans="1:5" x14ac:dyDescent="0.25">
      <c r="A107" t="str">
        <f t="shared" si="2"/>
        <v>4to7</v>
      </c>
      <c r="B107">
        <f t="shared" si="3"/>
        <v>111</v>
      </c>
      <c r="C107" s="27">
        <v>4</v>
      </c>
      <c r="D107" s="27">
        <v>7</v>
      </c>
      <c r="E107">
        <v>5.0999999999999996</v>
      </c>
    </row>
    <row r="108" spans="1:5" x14ac:dyDescent="0.25">
      <c r="A108" t="str">
        <f t="shared" si="2"/>
        <v>4to8</v>
      </c>
      <c r="B108">
        <f t="shared" si="3"/>
        <v>112</v>
      </c>
      <c r="C108" s="27">
        <v>4</v>
      </c>
      <c r="D108" s="27">
        <v>8</v>
      </c>
      <c r="E108">
        <v>7.5</v>
      </c>
    </row>
    <row r="109" spans="1:5" x14ac:dyDescent="0.25">
      <c r="A109" t="str">
        <f t="shared" si="2"/>
        <v>4to9</v>
      </c>
      <c r="B109">
        <f t="shared" si="3"/>
        <v>113</v>
      </c>
      <c r="C109" s="27">
        <v>4</v>
      </c>
      <c r="D109" s="27">
        <v>9</v>
      </c>
      <c r="E109">
        <v>2.6</v>
      </c>
    </row>
    <row r="110" spans="1:5" x14ac:dyDescent="0.25">
      <c r="A110" t="str">
        <f t="shared" si="2"/>
        <v>4to10</v>
      </c>
      <c r="B110">
        <f t="shared" si="3"/>
        <v>114</v>
      </c>
      <c r="C110" s="27">
        <v>4</v>
      </c>
      <c r="D110" s="27">
        <v>10</v>
      </c>
      <c r="E110">
        <v>6.5</v>
      </c>
    </row>
    <row r="111" spans="1:5" x14ac:dyDescent="0.25">
      <c r="A111" t="str">
        <f t="shared" si="2"/>
        <v>4to11</v>
      </c>
      <c r="B111">
        <f t="shared" si="3"/>
        <v>115</v>
      </c>
      <c r="C111" s="27">
        <v>4</v>
      </c>
      <c r="D111" s="27">
        <v>11</v>
      </c>
      <c r="E111">
        <v>1.5</v>
      </c>
    </row>
    <row r="112" spans="1:5" x14ac:dyDescent="0.25">
      <c r="A112" t="str">
        <f t="shared" si="2"/>
        <v>4to12</v>
      </c>
      <c r="B112">
        <f t="shared" si="3"/>
        <v>116</v>
      </c>
      <c r="C112" s="27">
        <v>4</v>
      </c>
      <c r="D112" s="27">
        <v>12</v>
      </c>
      <c r="E112">
        <v>7.5</v>
      </c>
    </row>
    <row r="113" spans="1:5" x14ac:dyDescent="0.25">
      <c r="A113" t="str">
        <f t="shared" si="2"/>
        <v>4to13</v>
      </c>
      <c r="B113">
        <f t="shared" si="3"/>
        <v>117</v>
      </c>
      <c r="C113" s="27">
        <v>4</v>
      </c>
      <c r="D113" s="27">
        <v>13</v>
      </c>
      <c r="E113">
        <v>3.2</v>
      </c>
    </row>
    <row r="114" spans="1:5" x14ac:dyDescent="0.25">
      <c r="A114" t="str">
        <f t="shared" si="2"/>
        <v>4to14</v>
      </c>
      <c r="B114">
        <f t="shared" si="3"/>
        <v>118</v>
      </c>
      <c r="C114" s="27">
        <v>4</v>
      </c>
      <c r="D114" s="27">
        <v>14</v>
      </c>
      <c r="E114">
        <v>2.4</v>
      </c>
    </row>
    <row r="115" spans="1:5" x14ac:dyDescent="0.25">
      <c r="A115" t="str">
        <f t="shared" si="2"/>
        <v>4to15</v>
      </c>
      <c r="B115">
        <f t="shared" si="3"/>
        <v>119</v>
      </c>
      <c r="C115" s="27">
        <v>4</v>
      </c>
      <c r="D115" s="27">
        <v>15</v>
      </c>
      <c r="E115">
        <v>2.7</v>
      </c>
    </row>
    <row r="116" spans="1:5" x14ac:dyDescent="0.25">
      <c r="A116" t="str">
        <f t="shared" si="2"/>
        <v>4to16</v>
      </c>
      <c r="B116">
        <f t="shared" si="3"/>
        <v>120</v>
      </c>
      <c r="C116" s="27">
        <v>4</v>
      </c>
      <c r="D116" s="27">
        <v>16</v>
      </c>
      <c r="E116">
        <v>1.4</v>
      </c>
    </row>
    <row r="117" spans="1:5" x14ac:dyDescent="0.25">
      <c r="A117" t="str">
        <f t="shared" si="2"/>
        <v>4to17</v>
      </c>
      <c r="B117">
        <f t="shared" si="3"/>
        <v>121</v>
      </c>
      <c r="C117" s="27">
        <v>4</v>
      </c>
      <c r="D117" s="27">
        <v>17</v>
      </c>
      <c r="E117">
        <v>0.5</v>
      </c>
    </row>
    <row r="118" spans="1:5" x14ac:dyDescent="0.25">
      <c r="A118" t="str">
        <f t="shared" si="2"/>
        <v>4to18</v>
      </c>
      <c r="B118">
        <f t="shared" si="3"/>
        <v>122</v>
      </c>
      <c r="C118" s="27">
        <v>4</v>
      </c>
      <c r="D118" s="27">
        <v>18</v>
      </c>
      <c r="E118">
        <v>1.7</v>
      </c>
    </row>
    <row r="119" spans="1:5" x14ac:dyDescent="0.25">
      <c r="A119" t="str">
        <f t="shared" si="2"/>
        <v>4to19</v>
      </c>
      <c r="B119">
        <f t="shared" si="3"/>
        <v>123</v>
      </c>
      <c r="C119" s="27">
        <v>4</v>
      </c>
      <c r="D119" s="27">
        <v>19</v>
      </c>
      <c r="E119">
        <v>6.5</v>
      </c>
    </row>
    <row r="120" spans="1:5" x14ac:dyDescent="0.25">
      <c r="A120" t="str">
        <f t="shared" si="2"/>
        <v>4to20</v>
      </c>
      <c r="B120">
        <f t="shared" si="3"/>
        <v>124</v>
      </c>
      <c r="C120" s="27">
        <v>4</v>
      </c>
      <c r="D120" s="27">
        <v>20</v>
      </c>
      <c r="E120">
        <v>3.2</v>
      </c>
    </row>
    <row r="121" spans="1:5" x14ac:dyDescent="0.25">
      <c r="A121" t="str">
        <f t="shared" si="2"/>
        <v>4to21</v>
      </c>
      <c r="B121">
        <f t="shared" si="3"/>
        <v>125</v>
      </c>
      <c r="C121" s="27">
        <v>4</v>
      </c>
      <c r="D121" s="27">
        <v>21</v>
      </c>
      <c r="E121">
        <v>5.2</v>
      </c>
    </row>
    <row r="122" spans="1:5" x14ac:dyDescent="0.25">
      <c r="A122" t="str">
        <f t="shared" si="2"/>
        <v>4to22</v>
      </c>
      <c r="B122">
        <f t="shared" si="3"/>
        <v>126</v>
      </c>
      <c r="C122" s="27">
        <v>4</v>
      </c>
      <c r="D122" s="27">
        <v>22</v>
      </c>
      <c r="E122">
        <v>2.5</v>
      </c>
    </row>
    <row r="123" spans="1:5" x14ac:dyDescent="0.25">
      <c r="A123" t="str">
        <f t="shared" si="2"/>
        <v>4to23</v>
      </c>
      <c r="B123">
        <f t="shared" si="3"/>
        <v>127</v>
      </c>
      <c r="C123" s="27">
        <v>4</v>
      </c>
      <c r="D123" s="27">
        <v>23</v>
      </c>
      <c r="E123">
        <v>6</v>
      </c>
    </row>
    <row r="124" spans="1:5" x14ac:dyDescent="0.25">
      <c r="A124" t="str">
        <f t="shared" si="2"/>
        <v>4to24</v>
      </c>
      <c r="B124">
        <f t="shared" si="3"/>
        <v>128</v>
      </c>
      <c r="C124" s="27">
        <v>4</v>
      </c>
      <c r="D124" s="27">
        <v>24</v>
      </c>
      <c r="E124">
        <v>4.2</v>
      </c>
    </row>
    <row r="125" spans="1:5" x14ac:dyDescent="0.25">
      <c r="A125" t="str">
        <f t="shared" si="2"/>
        <v>4to25</v>
      </c>
      <c r="B125">
        <f t="shared" si="3"/>
        <v>129</v>
      </c>
      <c r="C125" s="27">
        <v>4</v>
      </c>
      <c r="D125" s="27">
        <v>25</v>
      </c>
      <c r="E125">
        <v>5.4</v>
      </c>
    </row>
    <row r="126" spans="1:5" x14ac:dyDescent="0.25">
      <c r="A126" t="str">
        <f t="shared" si="2"/>
        <v>4to26</v>
      </c>
      <c r="B126">
        <f t="shared" si="3"/>
        <v>130</v>
      </c>
      <c r="C126" s="27">
        <v>4</v>
      </c>
      <c r="D126" s="27">
        <v>26</v>
      </c>
      <c r="E126">
        <v>5.5</v>
      </c>
    </row>
    <row r="127" spans="1:5" x14ac:dyDescent="0.25">
      <c r="A127" t="str">
        <f t="shared" si="2"/>
        <v>5to5</v>
      </c>
      <c r="B127">
        <f t="shared" si="3"/>
        <v>135</v>
      </c>
      <c r="C127" s="27">
        <v>5</v>
      </c>
      <c r="D127" s="27">
        <v>5</v>
      </c>
      <c r="E127">
        <v>0</v>
      </c>
    </row>
    <row r="128" spans="1:5" x14ac:dyDescent="0.25">
      <c r="A128" t="str">
        <f t="shared" si="2"/>
        <v>5to6</v>
      </c>
      <c r="B128">
        <f t="shared" si="3"/>
        <v>136</v>
      </c>
      <c r="C128" s="27">
        <v>5</v>
      </c>
      <c r="D128" s="27">
        <v>6</v>
      </c>
      <c r="E128">
        <v>6.3</v>
      </c>
    </row>
    <row r="129" spans="1:5" x14ac:dyDescent="0.25">
      <c r="A129" t="str">
        <f t="shared" si="2"/>
        <v>5to7</v>
      </c>
      <c r="B129">
        <f t="shared" si="3"/>
        <v>137</v>
      </c>
      <c r="C129" s="27">
        <v>5</v>
      </c>
      <c r="D129" s="27">
        <v>7</v>
      </c>
      <c r="E129">
        <v>4.3</v>
      </c>
    </row>
    <row r="130" spans="1:5" x14ac:dyDescent="0.25">
      <c r="A130" t="str">
        <f t="shared" si="2"/>
        <v>5to8</v>
      </c>
      <c r="B130">
        <f t="shared" si="3"/>
        <v>138</v>
      </c>
      <c r="C130" s="27">
        <v>5</v>
      </c>
      <c r="D130" s="27">
        <v>8</v>
      </c>
      <c r="E130">
        <v>4.5</v>
      </c>
    </row>
    <row r="131" spans="1:5" x14ac:dyDescent="0.25">
      <c r="A131" t="str">
        <f t="shared" ref="A131:A194" si="4">C131&amp;"to"&amp;D131</f>
        <v>5to9</v>
      </c>
      <c r="B131">
        <f t="shared" ref="B131:B194" si="5">C131*26+D131</f>
        <v>139</v>
      </c>
      <c r="C131" s="27">
        <v>5</v>
      </c>
      <c r="D131" s="27">
        <v>9</v>
      </c>
      <c r="E131">
        <v>1.5</v>
      </c>
    </row>
    <row r="132" spans="1:5" x14ac:dyDescent="0.25">
      <c r="A132" t="str">
        <f t="shared" si="4"/>
        <v>5to10</v>
      </c>
      <c r="B132">
        <f t="shared" si="5"/>
        <v>140</v>
      </c>
      <c r="C132" s="27">
        <v>5</v>
      </c>
      <c r="D132" s="27">
        <v>10</v>
      </c>
      <c r="E132">
        <v>8.6999999999999993</v>
      </c>
    </row>
    <row r="133" spans="1:5" x14ac:dyDescent="0.25">
      <c r="A133" t="str">
        <f t="shared" si="4"/>
        <v>5to11</v>
      </c>
      <c r="B133">
        <f t="shared" si="5"/>
        <v>141</v>
      </c>
      <c r="C133" s="27">
        <v>5</v>
      </c>
      <c r="D133" s="27">
        <v>11</v>
      </c>
      <c r="E133">
        <v>0.8</v>
      </c>
    </row>
    <row r="134" spans="1:5" x14ac:dyDescent="0.25">
      <c r="A134" t="str">
        <f t="shared" si="4"/>
        <v>5to12</v>
      </c>
      <c r="B134">
        <f t="shared" si="5"/>
        <v>142</v>
      </c>
      <c r="C134" s="27">
        <v>5</v>
      </c>
      <c r="D134" s="27">
        <v>12</v>
      </c>
      <c r="E134">
        <v>4.5</v>
      </c>
    </row>
    <row r="135" spans="1:5" x14ac:dyDescent="0.25">
      <c r="A135" t="str">
        <f t="shared" si="4"/>
        <v>5to13</v>
      </c>
      <c r="B135">
        <f t="shared" si="5"/>
        <v>143</v>
      </c>
      <c r="C135" s="27">
        <v>5</v>
      </c>
      <c r="D135" s="27">
        <v>13</v>
      </c>
      <c r="E135">
        <v>3.9</v>
      </c>
    </row>
    <row r="136" spans="1:5" x14ac:dyDescent="0.25">
      <c r="A136" t="str">
        <f t="shared" si="4"/>
        <v>5to14</v>
      </c>
      <c r="B136">
        <f t="shared" si="5"/>
        <v>144</v>
      </c>
      <c r="C136" s="27">
        <v>5</v>
      </c>
      <c r="D136" s="27">
        <v>14</v>
      </c>
      <c r="E136">
        <v>3</v>
      </c>
    </row>
    <row r="137" spans="1:5" x14ac:dyDescent="0.25">
      <c r="A137" t="str">
        <f t="shared" si="4"/>
        <v>5to15</v>
      </c>
      <c r="B137">
        <f t="shared" si="5"/>
        <v>145</v>
      </c>
      <c r="C137" s="27">
        <v>5</v>
      </c>
      <c r="D137" s="27">
        <v>15</v>
      </c>
      <c r="E137">
        <v>3.8</v>
      </c>
    </row>
    <row r="138" spans="1:5" x14ac:dyDescent="0.25">
      <c r="A138" t="str">
        <f t="shared" si="4"/>
        <v>5to16</v>
      </c>
      <c r="B138">
        <f t="shared" si="5"/>
        <v>146</v>
      </c>
      <c r="C138" s="27">
        <v>5</v>
      </c>
      <c r="D138" s="27">
        <v>16</v>
      </c>
      <c r="E138">
        <v>5.7</v>
      </c>
    </row>
    <row r="139" spans="1:5" x14ac:dyDescent="0.25">
      <c r="A139" t="str">
        <f t="shared" si="4"/>
        <v>5to17</v>
      </c>
      <c r="B139">
        <f t="shared" si="5"/>
        <v>147</v>
      </c>
      <c r="C139" s="27">
        <v>5</v>
      </c>
      <c r="D139" s="27">
        <v>17</v>
      </c>
      <c r="E139">
        <v>1.9</v>
      </c>
    </row>
    <row r="140" spans="1:5" x14ac:dyDescent="0.25">
      <c r="A140" t="str">
        <f t="shared" si="4"/>
        <v>5to18</v>
      </c>
      <c r="B140">
        <f t="shared" si="5"/>
        <v>148</v>
      </c>
      <c r="C140" s="27">
        <v>5</v>
      </c>
      <c r="D140" s="27">
        <v>18</v>
      </c>
      <c r="E140">
        <v>1.1000000000000001</v>
      </c>
    </row>
    <row r="141" spans="1:5" x14ac:dyDescent="0.25">
      <c r="A141" t="str">
        <f t="shared" si="4"/>
        <v>5to19</v>
      </c>
      <c r="B141">
        <f t="shared" si="5"/>
        <v>149</v>
      </c>
      <c r="C141" s="27">
        <v>5</v>
      </c>
      <c r="D141" s="27">
        <v>19</v>
      </c>
      <c r="E141">
        <v>3.5</v>
      </c>
    </row>
    <row r="142" spans="1:5" x14ac:dyDescent="0.25">
      <c r="A142" t="str">
        <f t="shared" si="4"/>
        <v>5to20</v>
      </c>
      <c r="B142">
        <f t="shared" si="5"/>
        <v>150</v>
      </c>
      <c r="C142" s="27">
        <v>5</v>
      </c>
      <c r="D142" s="27">
        <v>20</v>
      </c>
      <c r="E142">
        <v>4.9000000000000004</v>
      </c>
    </row>
    <row r="143" spans="1:5" x14ac:dyDescent="0.25">
      <c r="A143" t="str">
        <f t="shared" si="4"/>
        <v>5to21</v>
      </c>
      <c r="B143">
        <f t="shared" si="5"/>
        <v>151</v>
      </c>
      <c r="C143" s="27">
        <v>5</v>
      </c>
      <c r="D143" s="27">
        <v>21</v>
      </c>
      <c r="E143">
        <v>6.9</v>
      </c>
    </row>
    <row r="144" spans="1:5" x14ac:dyDescent="0.25">
      <c r="A144" t="str">
        <f t="shared" si="4"/>
        <v>5to22</v>
      </c>
      <c r="B144">
        <f t="shared" si="5"/>
        <v>152</v>
      </c>
      <c r="C144" s="27">
        <v>5</v>
      </c>
      <c r="D144" s="27">
        <v>22</v>
      </c>
      <c r="E144">
        <v>4.2</v>
      </c>
    </row>
    <row r="145" spans="1:5" x14ac:dyDescent="0.25">
      <c r="A145" t="str">
        <f t="shared" si="4"/>
        <v>5to23</v>
      </c>
      <c r="B145">
        <f t="shared" si="5"/>
        <v>153</v>
      </c>
      <c r="C145" s="27">
        <v>5</v>
      </c>
      <c r="D145" s="27">
        <v>23</v>
      </c>
      <c r="E145">
        <v>9</v>
      </c>
    </row>
    <row r="146" spans="1:5" x14ac:dyDescent="0.25">
      <c r="A146" t="str">
        <f t="shared" si="4"/>
        <v>5to24</v>
      </c>
      <c r="B146">
        <f t="shared" si="5"/>
        <v>154</v>
      </c>
      <c r="C146" s="27">
        <v>5</v>
      </c>
      <c r="D146" s="27">
        <v>24</v>
      </c>
      <c r="E146">
        <v>5.9</v>
      </c>
    </row>
    <row r="147" spans="1:5" x14ac:dyDescent="0.25">
      <c r="A147" t="str">
        <f t="shared" si="4"/>
        <v>5to25</v>
      </c>
      <c r="B147">
        <f t="shared" si="5"/>
        <v>155</v>
      </c>
      <c r="C147" s="27">
        <v>5</v>
      </c>
      <c r="D147" s="27">
        <v>25</v>
      </c>
      <c r="E147">
        <v>3.5</v>
      </c>
    </row>
    <row r="148" spans="1:5" x14ac:dyDescent="0.25">
      <c r="A148" t="str">
        <f t="shared" si="4"/>
        <v>5to26</v>
      </c>
      <c r="B148">
        <f t="shared" si="5"/>
        <v>156</v>
      </c>
      <c r="C148" s="27">
        <v>5</v>
      </c>
      <c r="D148" s="27">
        <v>26</v>
      </c>
      <c r="E148">
        <v>7.2</v>
      </c>
    </row>
    <row r="149" spans="1:5" x14ac:dyDescent="0.25">
      <c r="A149" t="str">
        <f t="shared" si="4"/>
        <v>6to6</v>
      </c>
      <c r="B149">
        <f t="shared" si="5"/>
        <v>162</v>
      </c>
      <c r="C149" s="27">
        <v>6</v>
      </c>
      <c r="D149" s="27">
        <v>6</v>
      </c>
      <c r="E149">
        <v>0</v>
      </c>
    </row>
    <row r="150" spans="1:5" x14ac:dyDescent="0.25">
      <c r="A150" t="str">
        <f t="shared" si="4"/>
        <v>6to7</v>
      </c>
      <c r="B150">
        <f t="shared" si="5"/>
        <v>163</v>
      </c>
      <c r="C150" s="27">
        <v>6</v>
      </c>
      <c r="D150" s="27">
        <v>7</v>
      </c>
      <c r="E150">
        <v>4</v>
      </c>
    </row>
    <row r="151" spans="1:5" x14ac:dyDescent="0.25">
      <c r="A151" t="str">
        <f t="shared" si="4"/>
        <v>6to8</v>
      </c>
      <c r="B151">
        <f t="shared" si="5"/>
        <v>164</v>
      </c>
      <c r="C151" s="27">
        <v>6</v>
      </c>
      <c r="D151" s="27">
        <v>8</v>
      </c>
      <c r="E151">
        <v>4.2</v>
      </c>
    </row>
    <row r="152" spans="1:5" x14ac:dyDescent="0.25">
      <c r="A152" t="str">
        <f t="shared" si="4"/>
        <v>6to9</v>
      </c>
      <c r="B152">
        <f t="shared" si="5"/>
        <v>165</v>
      </c>
      <c r="C152" s="27">
        <v>6</v>
      </c>
      <c r="D152" s="27">
        <v>9</v>
      </c>
      <c r="E152">
        <v>8</v>
      </c>
    </row>
    <row r="153" spans="1:5" x14ac:dyDescent="0.25">
      <c r="A153" t="str">
        <f t="shared" si="4"/>
        <v>6to10</v>
      </c>
      <c r="B153">
        <f t="shared" si="5"/>
        <v>166</v>
      </c>
      <c r="C153" s="27">
        <v>6</v>
      </c>
      <c r="D153" s="27">
        <v>10</v>
      </c>
      <c r="E153">
        <v>8.6</v>
      </c>
    </row>
    <row r="154" spans="1:5" x14ac:dyDescent="0.25">
      <c r="A154" t="str">
        <f t="shared" si="4"/>
        <v>6to11</v>
      </c>
      <c r="B154">
        <f t="shared" si="5"/>
        <v>167</v>
      </c>
      <c r="C154" s="27">
        <v>6</v>
      </c>
      <c r="D154" s="27">
        <v>11</v>
      </c>
      <c r="E154">
        <v>6.9</v>
      </c>
    </row>
    <row r="155" spans="1:5" x14ac:dyDescent="0.25">
      <c r="A155" t="str">
        <f t="shared" si="4"/>
        <v>6to12</v>
      </c>
      <c r="B155">
        <f t="shared" si="5"/>
        <v>168</v>
      </c>
      <c r="C155" s="27">
        <v>6</v>
      </c>
      <c r="D155" s="27">
        <v>12</v>
      </c>
      <c r="E155">
        <v>4.2</v>
      </c>
    </row>
    <row r="156" spans="1:5" x14ac:dyDescent="0.25">
      <c r="A156" t="str">
        <f t="shared" si="4"/>
        <v>6to13</v>
      </c>
      <c r="B156">
        <f t="shared" si="5"/>
        <v>169</v>
      </c>
      <c r="C156" s="27">
        <v>6</v>
      </c>
      <c r="D156" s="27">
        <v>13</v>
      </c>
      <c r="E156">
        <v>4.2</v>
      </c>
    </row>
    <row r="157" spans="1:5" x14ac:dyDescent="0.25">
      <c r="A157" t="str">
        <f t="shared" si="4"/>
        <v>6to14</v>
      </c>
      <c r="B157">
        <f t="shared" si="5"/>
        <v>170</v>
      </c>
      <c r="C157" s="27">
        <v>6</v>
      </c>
      <c r="D157" s="27">
        <v>14</v>
      </c>
      <c r="E157">
        <v>8</v>
      </c>
    </row>
    <row r="158" spans="1:5" x14ac:dyDescent="0.25">
      <c r="A158" t="str">
        <f t="shared" si="4"/>
        <v>6to15</v>
      </c>
      <c r="B158">
        <f t="shared" si="5"/>
        <v>171</v>
      </c>
      <c r="C158" s="27">
        <v>6</v>
      </c>
      <c r="D158" s="27">
        <v>15</v>
      </c>
      <c r="E158">
        <v>5.8</v>
      </c>
    </row>
    <row r="159" spans="1:5" x14ac:dyDescent="0.25">
      <c r="A159" t="str">
        <f t="shared" si="4"/>
        <v>6to16</v>
      </c>
      <c r="B159">
        <f t="shared" si="5"/>
        <v>172</v>
      </c>
      <c r="C159" s="27">
        <v>6</v>
      </c>
      <c r="D159" s="27">
        <v>16</v>
      </c>
      <c r="E159">
        <v>7.2</v>
      </c>
    </row>
    <row r="160" spans="1:5" x14ac:dyDescent="0.25">
      <c r="A160" t="str">
        <f t="shared" si="4"/>
        <v>6to17</v>
      </c>
      <c r="B160">
        <f t="shared" si="5"/>
        <v>173</v>
      </c>
      <c r="C160" s="27">
        <v>6</v>
      </c>
      <c r="D160" s="27">
        <v>17</v>
      </c>
      <c r="E160">
        <v>7.7</v>
      </c>
    </row>
    <row r="161" spans="1:5" x14ac:dyDescent="0.25">
      <c r="A161" t="str">
        <f t="shared" si="4"/>
        <v>6to18</v>
      </c>
      <c r="B161">
        <f t="shared" si="5"/>
        <v>174</v>
      </c>
      <c r="C161" s="27">
        <v>6</v>
      </c>
      <c r="D161" s="27">
        <v>18</v>
      </c>
      <c r="E161">
        <v>6.6</v>
      </c>
    </row>
    <row r="162" spans="1:5" x14ac:dyDescent="0.25">
      <c r="A162" t="str">
        <f t="shared" si="4"/>
        <v>6to19</v>
      </c>
      <c r="B162">
        <f t="shared" si="5"/>
        <v>175</v>
      </c>
      <c r="C162" s="27">
        <v>6</v>
      </c>
      <c r="D162" s="27">
        <v>19</v>
      </c>
      <c r="E162">
        <v>3.2</v>
      </c>
    </row>
    <row r="163" spans="1:5" x14ac:dyDescent="0.25">
      <c r="A163" t="str">
        <f t="shared" si="4"/>
        <v>6to20</v>
      </c>
      <c r="B163">
        <f t="shared" si="5"/>
        <v>176</v>
      </c>
      <c r="C163" s="27">
        <v>6</v>
      </c>
      <c r="D163" s="27">
        <v>20</v>
      </c>
      <c r="E163">
        <v>11.2</v>
      </c>
    </row>
    <row r="164" spans="1:5" x14ac:dyDescent="0.25">
      <c r="A164" t="str">
        <f t="shared" si="4"/>
        <v>6to21</v>
      </c>
      <c r="B164">
        <f t="shared" si="5"/>
        <v>177</v>
      </c>
      <c r="C164" s="27">
        <v>6</v>
      </c>
      <c r="D164" s="27">
        <v>21</v>
      </c>
      <c r="E164">
        <v>12.7</v>
      </c>
    </row>
    <row r="165" spans="1:5" x14ac:dyDescent="0.25">
      <c r="A165" t="str">
        <f t="shared" si="4"/>
        <v>6to22</v>
      </c>
      <c r="B165">
        <f t="shared" si="5"/>
        <v>178</v>
      </c>
      <c r="C165" s="27">
        <v>6</v>
      </c>
      <c r="D165" s="27">
        <v>22</v>
      </c>
      <c r="E165">
        <v>10</v>
      </c>
    </row>
    <row r="166" spans="1:5" x14ac:dyDescent="0.25">
      <c r="A166" t="str">
        <f t="shared" si="4"/>
        <v>6to23</v>
      </c>
      <c r="B166">
        <f t="shared" si="5"/>
        <v>179</v>
      </c>
      <c r="C166" s="27">
        <v>6</v>
      </c>
      <c r="D166" s="27">
        <v>23</v>
      </c>
      <c r="E166">
        <v>8.1999999999999993</v>
      </c>
    </row>
    <row r="167" spans="1:5" x14ac:dyDescent="0.25">
      <c r="A167" t="str">
        <f t="shared" si="4"/>
        <v>6to24</v>
      </c>
      <c r="B167">
        <f t="shared" si="5"/>
        <v>180</v>
      </c>
      <c r="C167" s="27">
        <v>6</v>
      </c>
      <c r="D167" s="27">
        <v>24</v>
      </c>
      <c r="E167">
        <v>11.7</v>
      </c>
    </row>
    <row r="168" spans="1:5" x14ac:dyDescent="0.25">
      <c r="A168" t="str">
        <f t="shared" si="4"/>
        <v>6to25</v>
      </c>
      <c r="B168">
        <f t="shared" si="5"/>
        <v>181</v>
      </c>
      <c r="C168" s="27">
        <v>6</v>
      </c>
      <c r="D168" s="27">
        <v>25</v>
      </c>
      <c r="E168">
        <v>5.0999999999999996</v>
      </c>
    </row>
    <row r="169" spans="1:5" x14ac:dyDescent="0.25">
      <c r="A169" t="str">
        <f t="shared" si="4"/>
        <v>6to26</v>
      </c>
      <c r="B169">
        <f t="shared" si="5"/>
        <v>182</v>
      </c>
      <c r="C169" s="27">
        <v>6</v>
      </c>
      <c r="D169" s="27">
        <v>26</v>
      </c>
      <c r="E169">
        <v>14.2</v>
      </c>
    </row>
    <row r="170" spans="1:5" x14ac:dyDescent="0.25">
      <c r="A170" t="str">
        <f t="shared" si="4"/>
        <v>7to7</v>
      </c>
      <c r="B170">
        <f t="shared" si="5"/>
        <v>189</v>
      </c>
      <c r="C170" s="27">
        <v>7</v>
      </c>
      <c r="D170" s="27">
        <v>7</v>
      </c>
      <c r="E170">
        <v>0</v>
      </c>
    </row>
    <row r="171" spans="1:5" x14ac:dyDescent="0.25">
      <c r="A171" t="str">
        <f t="shared" si="4"/>
        <v>7to8</v>
      </c>
      <c r="B171">
        <f t="shared" si="5"/>
        <v>190</v>
      </c>
      <c r="C171" s="27">
        <v>7</v>
      </c>
      <c r="D171" s="27">
        <v>8</v>
      </c>
      <c r="E171">
        <v>7.7</v>
      </c>
    </row>
    <row r="172" spans="1:5" x14ac:dyDescent="0.25">
      <c r="A172" t="str">
        <f t="shared" si="4"/>
        <v>7to9</v>
      </c>
      <c r="B172">
        <f t="shared" si="5"/>
        <v>191</v>
      </c>
      <c r="C172" s="27">
        <v>7</v>
      </c>
      <c r="D172" s="27">
        <v>9</v>
      </c>
      <c r="E172">
        <v>9.3000000000000007</v>
      </c>
    </row>
    <row r="173" spans="1:5" x14ac:dyDescent="0.25">
      <c r="A173" t="str">
        <f t="shared" si="4"/>
        <v>7to10</v>
      </c>
      <c r="B173">
        <f t="shared" si="5"/>
        <v>192</v>
      </c>
      <c r="C173" s="27">
        <v>7</v>
      </c>
      <c r="D173" s="27">
        <v>10</v>
      </c>
      <c r="E173">
        <v>4.5999999999999996</v>
      </c>
    </row>
    <row r="174" spans="1:5" x14ac:dyDescent="0.25">
      <c r="A174" t="str">
        <f t="shared" si="4"/>
        <v>7to11</v>
      </c>
      <c r="B174">
        <f t="shared" si="5"/>
        <v>193</v>
      </c>
      <c r="C174" s="27">
        <v>7</v>
      </c>
      <c r="D174" s="27">
        <v>11</v>
      </c>
      <c r="E174">
        <v>4.8</v>
      </c>
    </row>
    <row r="175" spans="1:5" x14ac:dyDescent="0.25">
      <c r="A175" t="str">
        <f t="shared" si="4"/>
        <v>7to12</v>
      </c>
      <c r="B175">
        <f t="shared" si="5"/>
        <v>194</v>
      </c>
      <c r="C175" s="27">
        <v>7</v>
      </c>
      <c r="D175" s="27">
        <v>12</v>
      </c>
      <c r="E175">
        <v>7.7</v>
      </c>
    </row>
    <row r="176" spans="1:5" x14ac:dyDescent="0.25">
      <c r="A176" t="str">
        <f t="shared" si="4"/>
        <v>7to13</v>
      </c>
      <c r="B176">
        <f t="shared" si="5"/>
        <v>195</v>
      </c>
      <c r="C176" s="27">
        <v>7</v>
      </c>
      <c r="D176" s="27">
        <v>13</v>
      </c>
      <c r="E176">
        <v>1.6</v>
      </c>
    </row>
    <row r="177" spans="1:5" x14ac:dyDescent="0.25">
      <c r="A177" t="str">
        <f t="shared" si="4"/>
        <v>7to14</v>
      </c>
      <c r="B177">
        <f t="shared" si="5"/>
        <v>196</v>
      </c>
      <c r="C177" s="27">
        <v>7</v>
      </c>
      <c r="D177" s="27">
        <v>14</v>
      </c>
      <c r="E177">
        <v>3.3</v>
      </c>
    </row>
    <row r="178" spans="1:5" x14ac:dyDescent="0.25">
      <c r="A178" t="str">
        <f t="shared" si="4"/>
        <v>7to15</v>
      </c>
      <c r="B178">
        <f t="shared" si="5"/>
        <v>197</v>
      </c>
      <c r="C178" s="27">
        <v>7</v>
      </c>
      <c r="D178" s="27">
        <v>15</v>
      </c>
      <c r="E178">
        <v>3.4</v>
      </c>
    </row>
    <row r="179" spans="1:5" x14ac:dyDescent="0.25">
      <c r="A179" t="str">
        <f t="shared" si="4"/>
        <v>7to16</v>
      </c>
      <c r="B179">
        <f t="shared" si="5"/>
        <v>198</v>
      </c>
      <c r="C179" s="27">
        <v>7</v>
      </c>
      <c r="D179" s="27">
        <v>16</v>
      </c>
      <c r="E179">
        <v>3.1</v>
      </c>
    </row>
    <row r="180" spans="1:5" x14ac:dyDescent="0.25">
      <c r="A180" t="str">
        <f t="shared" si="4"/>
        <v>7to17</v>
      </c>
      <c r="B180">
        <f t="shared" si="5"/>
        <v>199</v>
      </c>
      <c r="C180" s="27">
        <v>7</v>
      </c>
      <c r="D180" s="27">
        <v>17</v>
      </c>
      <c r="E180">
        <v>5.0999999999999996</v>
      </c>
    </row>
    <row r="181" spans="1:5" x14ac:dyDescent="0.25">
      <c r="A181" t="str">
        <f t="shared" si="4"/>
        <v>7to18</v>
      </c>
      <c r="B181">
        <f t="shared" si="5"/>
        <v>200</v>
      </c>
      <c r="C181" s="27">
        <v>7</v>
      </c>
      <c r="D181" s="27">
        <v>18</v>
      </c>
      <c r="E181">
        <v>4.5999999999999996</v>
      </c>
    </row>
    <row r="182" spans="1:5" x14ac:dyDescent="0.25">
      <c r="A182" t="str">
        <f t="shared" si="4"/>
        <v>7to19</v>
      </c>
      <c r="B182">
        <f t="shared" si="5"/>
        <v>201</v>
      </c>
      <c r="C182" s="27">
        <v>7</v>
      </c>
      <c r="D182" s="27">
        <v>19</v>
      </c>
      <c r="E182">
        <v>6.7</v>
      </c>
    </row>
    <row r="183" spans="1:5" x14ac:dyDescent="0.25">
      <c r="A183" t="str">
        <f t="shared" si="4"/>
        <v>7to20</v>
      </c>
      <c r="B183">
        <f t="shared" si="5"/>
        <v>202</v>
      </c>
      <c r="C183" s="27">
        <v>7</v>
      </c>
      <c r="D183" s="27">
        <v>20</v>
      </c>
      <c r="E183">
        <v>8.1</v>
      </c>
    </row>
    <row r="184" spans="1:5" x14ac:dyDescent="0.25">
      <c r="A184" t="str">
        <f t="shared" si="4"/>
        <v>7to21</v>
      </c>
      <c r="B184">
        <f t="shared" si="5"/>
        <v>203</v>
      </c>
      <c r="C184" s="27">
        <v>7</v>
      </c>
      <c r="D184" s="27">
        <v>21</v>
      </c>
      <c r="E184">
        <v>10.4</v>
      </c>
    </row>
    <row r="185" spans="1:5" x14ac:dyDescent="0.25">
      <c r="A185" t="str">
        <f t="shared" si="4"/>
        <v>7to22</v>
      </c>
      <c r="B185">
        <f t="shared" si="5"/>
        <v>204</v>
      </c>
      <c r="C185" s="27">
        <v>7</v>
      </c>
      <c r="D185" s="27">
        <v>22</v>
      </c>
      <c r="E185">
        <v>7.8</v>
      </c>
    </row>
    <row r="186" spans="1:5" x14ac:dyDescent="0.25">
      <c r="A186" t="str">
        <f t="shared" si="4"/>
        <v>7to23</v>
      </c>
      <c r="B186">
        <f t="shared" si="5"/>
        <v>205</v>
      </c>
      <c r="C186" s="27">
        <v>7</v>
      </c>
      <c r="D186" s="27">
        <v>23</v>
      </c>
      <c r="E186">
        <v>4.2</v>
      </c>
    </row>
    <row r="187" spans="1:5" x14ac:dyDescent="0.25">
      <c r="A187" t="str">
        <f t="shared" si="4"/>
        <v>7to24</v>
      </c>
      <c r="B187">
        <f t="shared" si="5"/>
        <v>206</v>
      </c>
      <c r="C187" s="27">
        <v>7</v>
      </c>
      <c r="D187" s="27">
        <v>24</v>
      </c>
      <c r="E187">
        <v>9.5</v>
      </c>
    </row>
    <row r="188" spans="1:5" x14ac:dyDescent="0.25">
      <c r="A188" t="str">
        <f t="shared" si="4"/>
        <v>7to25</v>
      </c>
      <c r="B188">
        <f t="shared" si="5"/>
        <v>207</v>
      </c>
      <c r="C188" s="27">
        <v>7</v>
      </c>
      <c r="D188" s="27">
        <v>25</v>
      </c>
      <c r="E188">
        <v>6.2</v>
      </c>
    </row>
    <row r="189" spans="1:5" x14ac:dyDescent="0.25">
      <c r="A189" t="str">
        <f t="shared" si="4"/>
        <v>7to26</v>
      </c>
      <c r="B189">
        <f t="shared" si="5"/>
        <v>208</v>
      </c>
      <c r="C189" s="27">
        <v>7</v>
      </c>
      <c r="D189" s="27">
        <v>26</v>
      </c>
      <c r="E189">
        <v>10.7</v>
      </c>
    </row>
    <row r="190" spans="1:5" x14ac:dyDescent="0.25">
      <c r="A190" t="str">
        <f t="shared" si="4"/>
        <v>8to8</v>
      </c>
      <c r="B190">
        <f t="shared" si="5"/>
        <v>216</v>
      </c>
      <c r="C190" s="27">
        <v>8</v>
      </c>
      <c r="D190" s="27">
        <v>8</v>
      </c>
      <c r="E190">
        <v>0</v>
      </c>
    </row>
    <row r="191" spans="1:5" x14ac:dyDescent="0.25">
      <c r="A191" t="str">
        <f t="shared" si="4"/>
        <v>8to9</v>
      </c>
      <c r="B191">
        <f t="shared" si="5"/>
        <v>217</v>
      </c>
      <c r="C191" s="27">
        <v>8</v>
      </c>
      <c r="D191" s="27">
        <v>9</v>
      </c>
      <c r="E191">
        <v>4.8</v>
      </c>
    </row>
    <row r="192" spans="1:5" x14ac:dyDescent="0.25">
      <c r="A192" t="str">
        <f t="shared" si="4"/>
        <v>8to10</v>
      </c>
      <c r="B192">
        <f t="shared" si="5"/>
        <v>218</v>
      </c>
      <c r="C192" s="27">
        <v>8</v>
      </c>
      <c r="D192" s="27">
        <v>10</v>
      </c>
      <c r="E192">
        <v>11.9</v>
      </c>
    </row>
    <row r="193" spans="1:5" x14ac:dyDescent="0.25">
      <c r="A193" t="str">
        <f t="shared" si="4"/>
        <v>8to11</v>
      </c>
      <c r="B193">
        <f t="shared" si="5"/>
        <v>219</v>
      </c>
      <c r="C193" s="27">
        <v>8</v>
      </c>
      <c r="D193" s="27">
        <v>11</v>
      </c>
      <c r="E193">
        <v>4.7</v>
      </c>
    </row>
    <row r="194" spans="1:5" x14ac:dyDescent="0.25">
      <c r="A194" t="str">
        <f t="shared" si="4"/>
        <v>8to12</v>
      </c>
      <c r="B194">
        <f t="shared" si="5"/>
        <v>220</v>
      </c>
      <c r="C194" s="27">
        <v>8</v>
      </c>
      <c r="D194" s="27">
        <v>12</v>
      </c>
      <c r="E194">
        <v>0.6</v>
      </c>
    </row>
    <row r="195" spans="1:5" x14ac:dyDescent="0.25">
      <c r="A195" t="str">
        <f t="shared" ref="A195:A258" si="6">C195&amp;"to"&amp;D195</f>
        <v>8to13</v>
      </c>
      <c r="B195">
        <f t="shared" ref="B195:B258" si="7">C195*26+D195</f>
        <v>221</v>
      </c>
      <c r="C195" s="27">
        <v>8</v>
      </c>
      <c r="D195" s="27">
        <v>13</v>
      </c>
      <c r="E195">
        <v>7.6</v>
      </c>
    </row>
    <row r="196" spans="1:5" x14ac:dyDescent="0.25">
      <c r="A196" t="str">
        <f t="shared" si="6"/>
        <v>8to14</v>
      </c>
      <c r="B196">
        <f t="shared" si="7"/>
        <v>222</v>
      </c>
      <c r="C196" s="27">
        <v>8</v>
      </c>
      <c r="D196" s="27">
        <v>14</v>
      </c>
      <c r="E196">
        <v>7.8</v>
      </c>
    </row>
    <row r="197" spans="1:5" x14ac:dyDescent="0.25">
      <c r="A197" t="str">
        <f t="shared" si="6"/>
        <v>8to15</v>
      </c>
      <c r="B197">
        <f t="shared" si="7"/>
        <v>223</v>
      </c>
      <c r="C197" s="27">
        <v>8</v>
      </c>
      <c r="D197" s="27">
        <v>15</v>
      </c>
      <c r="E197">
        <v>6.6</v>
      </c>
    </row>
    <row r="198" spans="1:5" x14ac:dyDescent="0.25">
      <c r="A198" t="str">
        <f t="shared" si="6"/>
        <v>8to16</v>
      </c>
      <c r="B198">
        <f t="shared" si="7"/>
        <v>224</v>
      </c>
      <c r="C198" s="27">
        <v>8</v>
      </c>
      <c r="D198" s="27">
        <v>16</v>
      </c>
      <c r="E198">
        <v>7.2</v>
      </c>
    </row>
    <row r="199" spans="1:5" x14ac:dyDescent="0.25">
      <c r="A199" t="str">
        <f t="shared" si="6"/>
        <v>8to17</v>
      </c>
      <c r="B199">
        <f t="shared" si="7"/>
        <v>225</v>
      </c>
      <c r="C199" s="27">
        <v>8</v>
      </c>
      <c r="D199" s="27">
        <v>17</v>
      </c>
      <c r="E199">
        <v>5.9</v>
      </c>
    </row>
    <row r="200" spans="1:5" x14ac:dyDescent="0.25">
      <c r="A200" t="str">
        <f t="shared" si="6"/>
        <v>8to18</v>
      </c>
      <c r="B200">
        <f t="shared" si="7"/>
        <v>226</v>
      </c>
      <c r="C200" s="27">
        <v>8</v>
      </c>
      <c r="D200" s="27">
        <v>18</v>
      </c>
      <c r="E200">
        <v>5.4</v>
      </c>
    </row>
    <row r="201" spans="1:5" x14ac:dyDescent="0.25">
      <c r="A201" t="str">
        <f t="shared" si="6"/>
        <v>8to19</v>
      </c>
      <c r="B201">
        <f t="shared" si="7"/>
        <v>227</v>
      </c>
      <c r="C201" s="27">
        <v>8</v>
      </c>
      <c r="D201" s="27">
        <v>19</v>
      </c>
      <c r="E201">
        <v>1</v>
      </c>
    </row>
    <row r="202" spans="1:5" x14ac:dyDescent="0.25">
      <c r="A202" t="str">
        <f t="shared" si="6"/>
        <v>8to20</v>
      </c>
      <c r="B202">
        <f t="shared" si="7"/>
        <v>228</v>
      </c>
      <c r="C202" s="27">
        <v>8</v>
      </c>
      <c r="D202" s="27">
        <v>20</v>
      </c>
      <c r="E202">
        <v>8.5</v>
      </c>
    </row>
    <row r="203" spans="1:5" x14ac:dyDescent="0.25">
      <c r="A203" t="str">
        <f t="shared" si="6"/>
        <v>8to21</v>
      </c>
      <c r="B203">
        <f t="shared" si="7"/>
        <v>229</v>
      </c>
      <c r="C203" s="27">
        <v>8</v>
      </c>
      <c r="D203" s="27">
        <v>21</v>
      </c>
      <c r="E203">
        <v>10.3</v>
      </c>
    </row>
    <row r="204" spans="1:5" x14ac:dyDescent="0.25">
      <c r="A204" t="str">
        <f t="shared" si="6"/>
        <v>8to22</v>
      </c>
      <c r="B204">
        <f t="shared" si="7"/>
        <v>230</v>
      </c>
      <c r="C204" s="27">
        <v>8</v>
      </c>
      <c r="D204" s="27">
        <v>22</v>
      </c>
      <c r="E204">
        <v>7.8</v>
      </c>
    </row>
    <row r="205" spans="1:5" x14ac:dyDescent="0.25">
      <c r="A205" t="str">
        <f t="shared" si="6"/>
        <v>8to23</v>
      </c>
      <c r="B205">
        <f t="shared" si="7"/>
        <v>231</v>
      </c>
      <c r="C205" s="27">
        <v>8</v>
      </c>
      <c r="D205" s="27">
        <v>23</v>
      </c>
      <c r="E205">
        <v>11.5</v>
      </c>
    </row>
    <row r="206" spans="1:5" x14ac:dyDescent="0.25">
      <c r="A206" t="str">
        <f t="shared" si="6"/>
        <v>8to24</v>
      </c>
      <c r="B206">
        <f t="shared" si="7"/>
        <v>232</v>
      </c>
      <c r="C206" s="27">
        <v>8</v>
      </c>
      <c r="D206" s="27">
        <v>24</v>
      </c>
      <c r="E206">
        <v>9.5</v>
      </c>
    </row>
    <row r="207" spans="1:5" x14ac:dyDescent="0.25">
      <c r="A207" t="str">
        <f t="shared" si="6"/>
        <v>8to25</v>
      </c>
      <c r="B207">
        <f t="shared" si="7"/>
        <v>233</v>
      </c>
      <c r="C207" s="27">
        <v>8</v>
      </c>
      <c r="D207" s="27">
        <v>25</v>
      </c>
      <c r="E207">
        <v>2.8</v>
      </c>
    </row>
    <row r="208" spans="1:5" x14ac:dyDescent="0.25">
      <c r="A208" t="str">
        <f t="shared" si="6"/>
        <v>8to26</v>
      </c>
      <c r="B208">
        <f t="shared" si="7"/>
        <v>234</v>
      </c>
      <c r="C208" s="27">
        <v>8</v>
      </c>
      <c r="D208" s="27">
        <v>26</v>
      </c>
      <c r="E208">
        <v>14.1</v>
      </c>
    </row>
    <row r="209" spans="1:5" x14ac:dyDescent="0.25">
      <c r="A209" t="str">
        <f t="shared" si="6"/>
        <v>9to9</v>
      </c>
      <c r="B209">
        <f t="shared" si="7"/>
        <v>243</v>
      </c>
      <c r="C209" s="27">
        <v>9</v>
      </c>
      <c r="D209" s="27">
        <v>9</v>
      </c>
      <c r="E209">
        <v>0</v>
      </c>
    </row>
    <row r="210" spans="1:5" x14ac:dyDescent="0.25">
      <c r="A210" t="str">
        <f t="shared" si="6"/>
        <v>9to10</v>
      </c>
      <c r="B210">
        <f t="shared" si="7"/>
        <v>244</v>
      </c>
      <c r="C210" s="27">
        <v>9</v>
      </c>
      <c r="D210" s="27">
        <v>10</v>
      </c>
      <c r="E210">
        <v>9.4</v>
      </c>
    </row>
    <row r="211" spans="1:5" x14ac:dyDescent="0.25">
      <c r="A211" t="str">
        <f t="shared" si="6"/>
        <v>9to11</v>
      </c>
      <c r="B211">
        <f t="shared" si="7"/>
        <v>245</v>
      </c>
      <c r="C211" s="27">
        <v>9</v>
      </c>
      <c r="D211" s="27">
        <v>11</v>
      </c>
      <c r="E211">
        <v>1.1000000000000001</v>
      </c>
    </row>
    <row r="212" spans="1:5" x14ac:dyDescent="0.25">
      <c r="A212" t="str">
        <f t="shared" si="6"/>
        <v>9to12</v>
      </c>
      <c r="B212">
        <f t="shared" si="7"/>
        <v>246</v>
      </c>
      <c r="C212" s="27">
        <v>9</v>
      </c>
      <c r="D212" s="27">
        <v>12</v>
      </c>
      <c r="E212">
        <v>5.0999999999999996</v>
      </c>
    </row>
    <row r="213" spans="1:5" x14ac:dyDescent="0.25">
      <c r="A213" t="str">
        <f t="shared" si="6"/>
        <v>9to13</v>
      </c>
      <c r="B213">
        <f t="shared" si="7"/>
        <v>247</v>
      </c>
      <c r="C213" s="27">
        <v>9</v>
      </c>
      <c r="D213" s="27">
        <v>13</v>
      </c>
      <c r="E213">
        <v>4.5999999999999996</v>
      </c>
    </row>
    <row r="214" spans="1:5" x14ac:dyDescent="0.25">
      <c r="A214" t="str">
        <f t="shared" si="6"/>
        <v>9to14</v>
      </c>
      <c r="B214">
        <f t="shared" si="7"/>
        <v>248</v>
      </c>
      <c r="C214" s="27">
        <v>9</v>
      </c>
      <c r="D214" s="27">
        <v>14</v>
      </c>
      <c r="E214">
        <v>3.7</v>
      </c>
    </row>
    <row r="215" spans="1:5" x14ac:dyDescent="0.25">
      <c r="A215" t="str">
        <f t="shared" si="6"/>
        <v>9to15</v>
      </c>
      <c r="B215">
        <f t="shared" si="7"/>
        <v>249</v>
      </c>
      <c r="C215" s="27">
        <v>9</v>
      </c>
      <c r="D215" s="27">
        <v>15</v>
      </c>
      <c r="E215">
        <v>4</v>
      </c>
    </row>
    <row r="216" spans="1:5" x14ac:dyDescent="0.25">
      <c r="A216" t="str">
        <f t="shared" si="6"/>
        <v>9to16</v>
      </c>
      <c r="B216">
        <f t="shared" si="7"/>
        <v>250</v>
      </c>
      <c r="C216" s="27">
        <v>9</v>
      </c>
      <c r="D216" s="27">
        <v>16</v>
      </c>
      <c r="E216">
        <v>6.7</v>
      </c>
    </row>
    <row r="217" spans="1:5" x14ac:dyDescent="0.25">
      <c r="A217" t="str">
        <f t="shared" si="6"/>
        <v>9to17</v>
      </c>
      <c r="B217">
        <f t="shared" si="7"/>
        <v>251</v>
      </c>
      <c r="C217" s="27">
        <v>9</v>
      </c>
      <c r="D217" s="27">
        <v>17</v>
      </c>
      <c r="E217">
        <v>2.2999999999999998</v>
      </c>
    </row>
    <row r="218" spans="1:5" x14ac:dyDescent="0.25">
      <c r="A218" t="str">
        <f t="shared" si="6"/>
        <v>9to18</v>
      </c>
      <c r="B218">
        <f t="shared" si="7"/>
        <v>252</v>
      </c>
      <c r="C218" s="27">
        <v>9</v>
      </c>
      <c r="D218" s="27">
        <v>18</v>
      </c>
      <c r="E218">
        <v>1.8</v>
      </c>
    </row>
    <row r="219" spans="1:5" x14ac:dyDescent="0.25">
      <c r="A219" t="str">
        <f t="shared" si="6"/>
        <v>9to19</v>
      </c>
      <c r="B219">
        <f t="shared" si="7"/>
        <v>253</v>
      </c>
      <c r="C219" s="27">
        <v>9</v>
      </c>
      <c r="D219" s="27">
        <v>19</v>
      </c>
      <c r="E219">
        <v>4.0999999999999996</v>
      </c>
    </row>
    <row r="220" spans="1:5" x14ac:dyDescent="0.25">
      <c r="A220" t="str">
        <f t="shared" si="6"/>
        <v>9to20</v>
      </c>
      <c r="B220">
        <f t="shared" si="7"/>
        <v>254</v>
      </c>
      <c r="C220" s="27">
        <v>9</v>
      </c>
      <c r="D220" s="27">
        <v>20</v>
      </c>
      <c r="E220">
        <v>3.8</v>
      </c>
    </row>
    <row r="221" spans="1:5" x14ac:dyDescent="0.25">
      <c r="A221" t="str">
        <f t="shared" si="6"/>
        <v>9to21</v>
      </c>
      <c r="B221">
        <f t="shared" si="7"/>
        <v>255</v>
      </c>
      <c r="C221" s="27">
        <v>9</v>
      </c>
      <c r="D221" s="27">
        <v>21</v>
      </c>
      <c r="E221">
        <v>5.8</v>
      </c>
    </row>
    <row r="222" spans="1:5" x14ac:dyDescent="0.25">
      <c r="A222" t="str">
        <f t="shared" si="6"/>
        <v>9to22</v>
      </c>
      <c r="B222">
        <f t="shared" si="7"/>
        <v>256</v>
      </c>
      <c r="C222" s="27">
        <v>9</v>
      </c>
      <c r="D222" s="27">
        <v>22</v>
      </c>
      <c r="E222">
        <v>4.3</v>
      </c>
    </row>
    <row r="223" spans="1:5" x14ac:dyDescent="0.25">
      <c r="A223" t="str">
        <f t="shared" si="6"/>
        <v>9to23</v>
      </c>
      <c r="B223">
        <f t="shared" si="7"/>
        <v>257</v>
      </c>
      <c r="C223" s="27">
        <v>9</v>
      </c>
      <c r="D223" s="27">
        <v>23</v>
      </c>
      <c r="E223">
        <v>7.8</v>
      </c>
    </row>
    <row r="224" spans="1:5" x14ac:dyDescent="0.25">
      <c r="A224" t="str">
        <f t="shared" si="6"/>
        <v>9to24</v>
      </c>
      <c r="B224">
        <f t="shared" si="7"/>
        <v>258</v>
      </c>
      <c r="C224" s="27">
        <v>9</v>
      </c>
      <c r="D224" s="27">
        <v>24</v>
      </c>
      <c r="E224">
        <v>4.8</v>
      </c>
    </row>
    <row r="225" spans="1:5" x14ac:dyDescent="0.25">
      <c r="A225" t="str">
        <f t="shared" si="6"/>
        <v>9to25</v>
      </c>
      <c r="B225">
        <f t="shared" si="7"/>
        <v>259</v>
      </c>
      <c r="C225" s="27">
        <v>9</v>
      </c>
      <c r="D225" s="27">
        <v>25</v>
      </c>
      <c r="E225">
        <v>3.2</v>
      </c>
    </row>
    <row r="226" spans="1:5" x14ac:dyDescent="0.25">
      <c r="A226" t="str">
        <f t="shared" si="6"/>
        <v>9to26</v>
      </c>
      <c r="B226">
        <f t="shared" si="7"/>
        <v>260</v>
      </c>
      <c r="C226" s="27">
        <v>9</v>
      </c>
      <c r="D226" s="27">
        <v>26</v>
      </c>
      <c r="E226">
        <v>6</v>
      </c>
    </row>
    <row r="227" spans="1:5" x14ac:dyDescent="0.25">
      <c r="A227" t="str">
        <f t="shared" si="6"/>
        <v>10to10</v>
      </c>
      <c r="B227">
        <f t="shared" si="7"/>
        <v>270</v>
      </c>
      <c r="C227" s="27">
        <v>10</v>
      </c>
      <c r="D227" s="27">
        <v>10</v>
      </c>
      <c r="E227">
        <v>0</v>
      </c>
    </row>
    <row r="228" spans="1:5" x14ac:dyDescent="0.25">
      <c r="A228" t="str">
        <f t="shared" si="6"/>
        <v>10to11</v>
      </c>
      <c r="B228">
        <f t="shared" si="7"/>
        <v>271</v>
      </c>
      <c r="C228" s="27">
        <v>10</v>
      </c>
      <c r="D228" s="27">
        <v>11</v>
      </c>
      <c r="E228">
        <v>7.3</v>
      </c>
    </row>
    <row r="229" spans="1:5" x14ac:dyDescent="0.25">
      <c r="A229" t="str">
        <f t="shared" si="6"/>
        <v>10to12</v>
      </c>
      <c r="B229">
        <f t="shared" si="7"/>
        <v>272</v>
      </c>
      <c r="C229" s="27">
        <v>10</v>
      </c>
      <c r="D229" s="27">
        <v>12</v>
      </c>
      <c r="E229">
        <v>12</v>
      </c>
    </row>
    <row r="230" spans="1:5" x14ac:dyDescent="0.25">
      <c r="A230" t="str">
        <f t="shared" si="6"/>
        <v>10to13</v>
      </c>
      <c r="B230">
        <f t="shared" si="7"/>
        <v>273</v>
      </c>
      <c r="C230" s="27">
        <v>10</v>
      </c>
      <c r="D230" s="27">
        <v>13</v>
      </c>
      <c r="E230">
        <v>4.9000000000000004</v>
      </c>
    </row>
    <row r="231" spans="1:5" x14ac:dyDescent="0.25">
      <c r="A231" t="str">
        <f t="shared" si="6"/>
        <v>10to14</v>
      </c>
      <c r="B231">
        <f t="shared" si="7"/>
        <v>274</v>
      </c>
      <c r="C231" s="27">
        <v>10</v>
      </c>
      <c r="D231" s="27">
        <v>14</v>
      </c>
      <c r="E231">
        <v>5.2</v>
      </c>
    </row>
    <row r="232" spans="1:5" x14ac:dyDescent="0.25">
      <c r="A232" t="str">
        <f t="shared" si="6"/>
        <v>10to15</v>
      </c>
      <c r="B232">
        <f t="shared" si="7"/>
        <v>275</v>
      </c>
      <c r="C232" s="27">
        <v>10</v>
      </c>
      <c r="D232" s="27">
        <v>15</v>
      </c>
      <c r="E232">
        <v>5.4</v>
      </c>
    </row>
    <row r="233" spans="1:5" x14ac:dyDescent="0.25">
      <c r="A233" t="str">
        <f t="shared" si="6"/>
        <v>10to16</v>
      </c>
      <c r="B233">
        <f t="shared" si="7"/>
        <v>276</v>
      </c>
      <c r="C233" s="27">
        <v>10</v>
      </c>
      <c r="D233" s="27">
        <v>16</v>
      </c>
      <c r="E233">
        <v>8.1</v>
      </c>
    </row>
    <row r="234" spans="1:5" x14ac:dyDescent="0.25">
      <c r="A234" t="str">
        <f t="shared" si="6"/>
        <v>10to17</v>
      </c>
      <c r="B234">
        <f t="shared" si="7"/>
        <v>277</v>
      </c>
      <c r="C234" s="27">
        <v>10</v>
      </c>
      <c r="D234" s="27">
        <v>17</v>
      </c>
      <c r="E234">
        <v>6.2</v>
      </c>
    </row>
    <row r="235" spans="1:5" x14ac:dyDescent="0.25">
      <c r="A235" t="str">
        <f t="shared" si="6"/>
        <v>10to18</v>
      </c>
      <c r="B235">
        <f t="shared" si="7"/>
        <v>278</v>
      </c>
      <c r="C235" s="27">
        <v>10</v>
      </c>
      <c r="D235" s="27">
        <v>18</v>
      </c>
      <c r="E235">
        <v>6.9</v>
      </c>
    </row>
    <row r="236" spans="1:5" x14ac:dyDescent="0.25">
      <c r="A236" t="str">
        <f t="shared" si="6"/>
        <v>10to19</v>
      </c>
      <c r="B236">
        <f t="shared" si="7"/>
        <v>279</v>
      </c>
      <c r="C236" s="27">
        <v>10</v>
      </c>
      <c r="D236" s="27">
        <v>19</v>
      </c>
      <c r="E236">
        <v>11.5</v>
      </c>
    </row>
    <row r="237" spans="1:5" x14ac:dyDescent="0.25">
      <c r="A237" t="str">
        <f t="shared" si="6"/>
        <v>10to20</v>
      </c>
      <c r="B237">
        <f t="shared" si="7"/>
        <v>280</v>
      </c>
      <c r="C237" s="27">
        <v>10</v>
      </c>
      <c r="D237" s="27">
        <v>20</v>
      </c>
      <c r="E237">
        <v>6.9</v>
      </c>
    </row>
    <row r="238" spans="1:5" x14ac:dyDescent="0.25">
      <c r="A238" t="str">
        <f t="shared" si="6"/>
        <v>10to21</v>
      </c>
      <c r="B238">
        <f t="shared" si="7"/>
        <v>281</v>
      </c>
      <c r="C238" s="27">
        <v>10</v>
      </c>
      <c r="D238" s="27">
        <v>21</v>
      </c>
      <c r="E238">
        <v>8.3000000000000007</v>
      </c>
    </row>
    <row r="239" spans="1:5" x14ac:dyDescent="0.25">
      <c r="A239" t="str">
        <f t="shared" si="6"/>
        <v>10to22</v>
      </c>
      <c r="B239">
        <f t="shared" si="7"/>
        <v>282</v>
      </c>
      <c r="C239" s="27">
        <v>10</v>
      </c>
      <c r="D239" s="27">
        <v>22</v>
      </c>
      <c r="E239">
        <v>4.0999999999999996</v>
      </c>
    </row>
    <row r="240" spans="1:5" x14ac:dyDescent="0.25">
      <c r="A240" t="str">
        <f t="shared" si="6"/>
        <v>10to23</v>
      </c>
      <c r="B240">
        <f t="shared" si="7"/>
        <v>283</v>
      </c>
      <c r="C240" s="27">
        <v>10</v>
      </c>
      <c r="D240" s="27">
        <v>23</v>
      </c>
      <c r="E240">
        <v>0.4</v>
      </c>
    </row>
    <row r="241" spans="1:5" x14ac:dyDescent="0.25">
      <c r="A241" t="str">
        <f t="shared" si="6"/>
        <v>10to24</v>
      </c>
      <c r="B241">
        <f t="shared" si="7"/>
        <v>284</v>
      </c>
      <c r="C241" s="27">
        <v>10</v>
      </c>
      <c r="D241" s="27">
        <v>24</v>
      </c>
      <c r="E241">
        <v>4.9000000000000004</v>
      </c>
    </row>
    <row r="242" spans="1:5" x14ac:dyDescent="0.25">
      <c r="A242" t="str">
        <f t="shared" si="6"/>
        <v>10to25</v>
      </c>
      <c r="B242">
        <f t="shared" si="7"/>
        <v>285</v>
      </c>
      <c r="C242" s="27">
        <v>10</v>
      </c>
      <c r="D242" s="27">
        <v>25</v>
      </c>
      <c r="E242">
        <v>11</v>
      </c>
    </row>
    <row r="243" spans="1:5" x14ac:dyDescent="0.25">
      <c r="A243" t="str">
        <f t="shared" si="6"/>
        <v>10to26</v>
      </c>
      <c r="B243">
        <f t="shared" si="7"/>
        <v>286</v>
      </c>
      <c r="C243" s="27">
        <v>10</v>
      </c>
      <c r="D243" s="27">
        <v>26</v>
      </c>
      <c r="E243">
        <v>6.8</v>
      </c>
    </row>
    <row r="244" spans="1:5" x14ac:dyDescent="0.25">
      <c r="A244" t="str">
        <f t="shared" si="6"/>
        <v>11to11</v>
      </c>
      <c r="B244">
        <f t="shared" si="7"/>
        <v>297</v>
      </c>
      <c r="C244" s="27">
        <v>11</v>
      </c>
      <c r="D244" s="27">
        <v>11</v>
      </c>
      <c r="E244">
        <v>0</v>
      </c>
    </row>
    <row r="245" spans="1:5" x14ac:dyDescent="0.25">
      <c r="A245" t="str">
        <f t="shared" si="6"/>
        <v>11to12</v>
      </c>
      <c r="B245">
        <f t="shared" si="7"/>
        <v>298</v>
      </c>
      <c r="C245" s="27">
        <v>11</v>
      </c>
      <c r="D245" s="27">
        <v>12</v>
      </c>
      <c r="E245">
        <v>4.7</v>
      </c>
    </row>
    <row r="246" spans="1:5" x14ac:dyDescent="0.25">
      <c r="A246" t="str">
        <f t="shared" si="6"/>
        <v>11to13</v>
      </c>
      <c r="B246">
        <f t="shared" si="7"/>
        <v>299</v>
      </c>
      <c r="C246" s="27">
        <v>11</v>
      </c>
      <c r="D246" s="27">
        <v>13</v>
      </c>
      <c r="E246">
        <v>3.5</v>
      </c>
    </row>
    <row r="247" spans="1:5" x14ac:dyDescent="0.25">
      <c r="A247" t="str">
        <f t="shared" si="6"/>
        <v>11to14</v>
      </c>
      <c r="B247">
        <f t="shared" si="7"/>
        <v>300</v>
      </c>
      <c r="C247" s="27">
        <v>11</v>
      </c>
      <c r="D247" s="27">
        <v>14</v>
      </c>
      <c r="E247">
        <v>2.6</v>
      </c>
    </row>
    <row r="248" spans="1:5" x14ac:dyDescent="0.25">
      <c r="A248" t="str">
        <f t="shared" si="6"/>
        <v>11to15</v>
      </c>
      <c r="B248">
        <f t="shared" si="7"/>
        <v>301</v>
      </c>
      <c r="C248" s="27">
        <v>11</v>
      </c>
      <c r="D248" s="27">
        <v>15</v>
      </c>
      <c r="E248">
        <v>2.9</v>
      </c>
    </row>
    <row r="249" spans="1:5" x14ac:dyDescent="0.25">
      <c r="A249" t="str">
        <f t="shared" si="6"/>
        <v>11to16</v>
      </c>
      <c r="B249">
        <f t="shared" si="7"/>
        <v>302</v>
      </c>
      <c r="C249" s="27">
        <v>11</v>
      </c>
      <c r="D249" s="27">
        <v>16</v>
      </c>
      <c r="E249">
        <v>6.3</v>
      </c>
    </row>
    <row r="250" spans="1:5" x14ac:dyDescent="0.25">
      <c r="A250" t="str">
        <f t="shared" si="6"/>
        <v>11to17</v>
      </c>
      <c r="B250">
        <f t="shared" si="7"/>
        <v>303</v>
      </c>
      <c r="C250" s="27">
        <v>11</v>
      </c>
      <c r="D250" s="27">
        <v>17</v>
      </c>
      <c r="E250">
        <v>1.2</v>
      </c>
    </row>
    <row r="251" spans="1:5" x14ac:dyDescent="0.25">
      <c r="A251" t="str">
        <f t="shared" si="6"/>
        <v>11to18</v>
      </c>
      <c r="B251">
        <f t="shared" si="7"/>
        <v>304</v>
      </c>
      <c r="C251" s="27">
        <v>11</v>
      </c>
      <c r="D251" s="27">
        <v>18</v>
      </c>
      <c r="E251">
        <v>1</v>
      </c>
    </row>
    <row r="252" spans="1:5" x14ac:dyDescent="0.25">
      <c r="A252" t="str">
        <f t="shared" si="6"/>
        <v>11to19</v>
      </c>
      <c r="B252">
        <f t="shared" si="7"/>
        <v>305</v>
      </c>
      <c r="C252" s="27">
        <v>11</v>
      </c>
      <c r="D252" s="27">
        <v>19</v>
      </c>
      <c r="E252">
        <v>3.7</v>
      </c>
    </row>
    <row r="253" spans="1:5" x14ac:dyDescent="0.25">
      <c r="A253" t="str">
        <f t="shared" si="6"/>
        <v>11to20</v>
      </c>
      <c r="B253">
        <f t="shared" si="7"/>
        <v>306</v>
      </c>
      <c r="C253" s="27">
        <v>11</v>
      </c>
      <c r="D253" s="27">
        <v>20</v>
      </c>
      <c r="E253">
        <v>4.0999999999999996</v>
      </c>
    </row>
    <row r="254" spans="1:5" x14ac:dyDescent="0.25">
      <c r="A254" t="str">
        <f t="shared" si="6"/>
        <v>11to21</v>
      </c>
      <c r="B254">
        <f t="shared" si="7"/>
        <v>307</v>
      </c>
      <c r="C254" s="27">
        <v>11</v>
      </c>
      <c r="D254" s="27">
        <v>21</v>
      </c>
      <c r="E254">
        <v>6.2</v>
      </c>
    </row>
    <row r="255" spans="1:5" x14ac:dyDescent="0.25">
      <c r="A255" t="str">
        <f t="shared" si="6"/>
        <v>11to22</v>
      </c>
      <c r="B255">
        <f t="shared" si="7"/>
        <v>308</v>
      </c>
      <c r="C255" s="27">
        <v>11</v>
      </c>
      <c r="D255" s="27">
        <v>22</v>
      </c>
      <c r="E255">
        <v>3.4</v>
      </c>
    </row>
    <row r="256" spans="1:5" x14ac:dyDescent="0.25">
      <c r="A256" t="str">
        <f t="shared" si="6"/>
        <v>11to23</v>
      </c>
      <c r="B256">
        <f t="shared" si="7"/>
        <v>309</v>
      </c>
      <c r="C256" s="27">
        <v>11</v>
      </c>
      <c r="D256" s="27">
        <v>23</v>
      </c>
      <c r="E256">
        <v>6.9</v>
      </c>
    </row>
    <row r="257" spans="1:5" x14ac:dyDescent="0.25">
      <c r="A257" t="str">
        <f t="shared" si="6"/>
        <v>11to24</v>
      </c>
      <c r="B257">
        <f t="shared" si="7"/>
        <v>310</v>
      </c>
      <c r="C257" s="27">
        <v>11</v>
      </c>
      <c r="D257" s="27">
        <v>24</v>
      </c>
      <c r="E257">
        <v>5.2</v>
      </c>
    </row>
    <row r="258" spans="1:5" x14ac:dyDescent="0.25">
      <c r="A258" t="str">
        <f t="shared" si="6"/>
        <v>11to25</v>
      </c>
      <c r="B258">
        <f t="shared" si="7"/>
        <v>311</v>
      </c>
      <c r="C258" s="27">
        <v>11</v>
      </c>
      <c r="D258" s="27">
        <v>25</v>
      </c>
      <c r="E258">
        <v>3.7</v>
      </c>
    </row>
    <row r="259" spans="1:5" x14ac:dyDescent="0.25">
      <c r="A259" t="str">
        <f t="shared" ref="A259:A322" si="8">C259&amp;"to"&amp;D259</f>
        <v>11to26</v>
      </c>
      <c r="B259">
        <f t="shared" ref="B259:B322" si="9">C259*26+D259</f>
        <v>312</v>
      </c>
      <c r="C259" s="27">
        <v>11</v>
      </c>
      <c r="D259" s="27">
        <v>26</v>
      </c>
      <c r="E259">
        <v>6.4</v>
      </c>
    </row>
    <row r="260" spans="1:5" x14ac:dyDescent="0.25">
      <c r="A260" t="str">
        <f t="shared" si="8"/>
        <v>12to12</v>
      </c>
      <c r="B260">
        <f t="shared" si="9"/>
        <v>324</v>
      </c>
      <c r="C260" s="27">
        <v>12</v>
      </c>
      <c r="D260" s="27">
        <v>12</v>
      </c>
      <c r="E260">
        <v>0</v>
      </c>
    </row>
    <row r="261" spans="1:5" x14ac:dyDescent="0.25">
      <c r="A261" t="str">
        <f t="shared" si="8"/>
        <v>12to13</v>
      </c>
      <c r="B261">
        <f t="shared" si="9"/>
        <v>325</v>
      </c>
      <c r="C261" s="27">
        <v>12</v>
      </c>
      <c r="D261" s="27">
        <v>13</v>
      </c>
      <c r="E261">
        <v>7.3</v>
      </c>
    </row>
    <row r="262" spans="1:5" x14ac:dyDescent="0.25">
      <c r="A262" t="str">
        <f t="shared" si="8"/>
        <v>12to14</v>
      </c>
      <c r="B262">
        <f t="shared" si="9"/>
        <v>326</v>
      </c>
      <c r="C262" s="27">
        <v>12</v>
      </c>
      <c r="D262" s="27">
        <v>14</v>
      </c>
      <c r="E262">
        <v>7.8</v>
      </c>
    </row>
    <row r="263" spans="1:5" x14ac:dyDescent="0.25">
      <c r="A263" t="str">
        <f t="shared" si="8"/>
        <v>12to15</v>
      </c>
      <c r="B263">
        <f t="shared" si="9"/>
        <v>327</v>
      </c>
      <c r="C263" s="27">
        <v>12</v>
      </c>
      <c r="D263" s="27">
        <v>15</v>
      </c>
      <c r="E263">
        <v>6.6</v>
      </c>
    </row>
    <row r="264" spans="1:5" x14ac:dyDescent="0.25">
      <c r="A264" t="str">
        <f t="shared" si="8"/>
        <v>12to16</v>
      </c>
      <c r="B264">
        <f t="shared" si="9"/>
        <v>328</v>
      </c>
      <c r="C264" s="27">
        <v>12</v>
      </c>
      <c r="D264" s="27">
        <v>16</v>
      </c>
      <c r="E264">
        <v>7.2</v>
      </c>
    </row>
    <row r="265" spans="1:5" x14ac:dyDescent="0.25">
      <c r="A265" t="str">
        <f t="shared" si="8"/>
        <v>12to17</v>
      </c>
      <c r="B265">
        <f t="shared" si="9"/>
        <v>329</v>
      </c>
      <c r="C265" s="27">
        <v>12</v>
      </c>
      <c r="D265" s="27">
        <v>17</v>
      </c>
      <c r="E265">
        <v>5.9</v>
      </c>
    </row>
    <row r="266" spans="1:5" x14ac:dyDescent="0.25">
      <c r="A266" t="str">
        <f t="shared" si="8"/>
        <v>12to18</v>
      </c>
      <c r="B266">
        <f t="shared" si="9"/>
        <v>330</v>
      </c>
      <c r="C266" s="27">
        <v>12</v>
      </c>
      <c r="D266" s="27">
        <v>18</v>
      </c>
      <c r="E266">
        <v>5.4</v>
      </c>
    </row>
    <row r="267" spans="1:5" x14ac:dyDescent="0.25">
      <c r="A267" t="str">
        <f t="shared" si="8"/>
        <v>12to19</v>
      </c>
      <c r="B267">
        <f t="shared" si="9"/>
        <v>331</v>
      </c>
      <c r="C267" s="27">
        <v>12</v>
      </c>
      <c r="D267" s="27">
        <v>19</v>
      </c>
      <c r="E267">
        <v>1</v>
      </c>
    </row>
    <row r="268" spans="1:5" x14ac:dyDescent="0.25">
      <c r="A268" t="str">
        <f t="shared" si="8"/>
        <v>12to20</v>
      </c>
      <c r="B268">
        <f t="shared" si="9"/>
        <v>332</v>
      </c>
      <c r="C268" s="27">
        <v>12</v>
      </c>
      <c r="D268" s="27">
        <v>20</v>
      </c>
      <c r="E268">
        <v>8.5</v>
      </c>
    </row>
    <row r="269" spans="1:5" x14ac:dyDescent="0.25">
      <c r="A269" t="str">
        <f t="shared" si="8"/>
        <v>12to21</v>
      </c>
      <c r="B269">
        <f t="shared" si="9"/>
        <v>333</v>
      </c>
      <c r="C269" s="27">
        <v>12</v>
      </c>
      <c r="D269" s="27">
        <v>21</v>
      </c>
      <c r="E269">
        <v>10.3</v>
      </c>
    </row>
    <row r="270" spans="1:5" x14ac:dyDescent="0.25">
      <c r="A270" t="str">
        <f t="shared" si="8"/>
        <v>12to22</v>
      </c>
      <c r="B270">
        <f t="shared" si="9"/>
        <v>334</v>
      </c>
      <c r="C270" s="27">
        <v>12</v>
      </c>
      <c r="D270" s="27">
        <v>22</v>
      </c>
      <c r="E270">
        <v>7.8</v>
      </c>
    </row>
    <row r="271" spans="1:5" x14ac:dyDescent="0.25">
      <c r="A271" t="str">
        <f t="shared" si="8"/>
        <v>12to23</v>
      </c>
      <c r="B271">
        <f t="shared" si="9"/>
        <v>335</v>
      </c>
      <c r="C271" s="27">
        <v>12</v>
      </c>
      <c r="D271" s="27">
        <v>23</v>
      </c>
      <c r="E271">
        <v>11.5</v>
      </c>
    </row>
    <row r="272" spans="1:5" x14ac:dyDescent="0.25">
      <c r="A272" t="str">
        <f t="shared" si="8"/>
        <v>12to24</v>
      </c>
      <c r="B272">
        <f t="shared" si="9"/>
        <v>336</v>
      </c>
      <c r="C272" s="27">
        <v>12</v>
      </c>
      <c r="D272" s="27">
        <v>24</v>
      </c>
      <c r="E272">
        <v>9.5</v>
      </c>
    </row>
    <row r="273" spans="1:5" x14ac:dyDescent="0.25">
      <c r="A273" t="str">
        <f t="shared" si="8"/>
        <v>12to25</v>
      </c>
      <c r="B273">
        <f t="shared" si="9"/>
        <v>337</v>
      </c>
      <c r="C273" s="27">
        <v>12</v>
      </c>
      <c r="D273" s="27">
        <v>25</v>
      </c>
      <c r="E273">
        <v>2.8</v>
      </c>
    </row>
    <row r="274" spans="1:5" x14ac:dyDescent="0.25">
      <c r="A274" t="str">
        <f t="shared" si="8"/>
        <v>12to26</v>
      </c>
      <c r="B274">
        <f t="shared" si="9"/>
        <v>338</v>
      </c>
      <c r="C274" s="27">
        <v>12</v>
      </c>
      <c r="D274" s="27">
        <v>26</v>
      </c>
      <c r="E274">
        <v>14.1</v>
      </c>
    </row>
    <row r="275" spans="1:5" x14ac:dyDescent="0.25">
      <c r="A275" t="str">
        <f t="shared" si="8"/>
        <v>13to13</v>
      </c>
      <c r="B275">
        <f t="shared" si="9"/>
        <v>351</v>
      </c>
      <c r="C275" s="27">
        <v>13</v>
      </c>
      <c r="D275" s="27">
        <v>13</v>
      </c>
      <c r="E275">
        <v>0</v>
      </c>
    </row>
    <row r="276" spans="1:5" x14ac:dyDescent="0.25">
      <c r="A276" t="str">
        <f t="shared" si="8"/>
        <v>13to14</v>
      </c>
      <c r="B276">
        <f t="shared" si="9"/>
        <v>352</v>
      </c>
      <c r="C276" s="27">
        <v>13</v>
      </c>
      <c r="D276" s="27">
        <v>14</v>
      </c>
      <c r="E276">
        <v>1.3</v>
      </c>
    </row>
    <row r="277" spans="1:5" x14ac:dyDescent="0.25">
      <c r="A277" t="str">
        <f t="shared" si="8"/>
        <v>13to15</v>
      </c>
      <c r="B277">
        <f t="shared" si="9"/>
        <v>353</v>
      </c>
      <c r="C277" s="27">
        <v>13</v>
      </c>
      <c r="D277" s="27">
        <v>15</v>
      </c>
      <c r="E277">
        <v>1.5</v>
      </c>
    </row>
    <row r="278" spans="1:5" x14ac:dyDescent="0.25">
      <c r="A278" t="str">
        <f t="shared" si="8"/>
        <v>13to16</v>
      </c>
      <c r="B278">
        <f t="shared" si="9"/>
        <v>354</v>
      </c>
      <c r="C278" s="27">
        <v>13</v>
      </c>
      <c r="D278" s="27">
        <v>16</v>
      </c>
      <c r="E278">
        <v>4</v>
      </c>
    </row>
    <row r="279" spans="1:5" x14ac:dyDescent="0.25">
      <c r="A279" t="str">
        <f t="shared" si="8"/>
        <v>13to17</v>
      </c>
      <c r="B279">
        <f t="shared" si="9"/>
        <v>355</v>
      </c>
      <c r="C279" s="27">
        <v>13</v>
      </c>
      <c r="D279" s="27">
        <v>17</v>
      </c>
      <c r="E279">
        <v>3.2</v>
      </c>
    </row>
    <row r="280" spans="1:5" x14ac:dyDescent="0.25">
      <c r="A280" t="str">
        <f t="shared" si="8"/>
        <v>13to18</v>
      </c>
      <c r="B280">
        <f t="shared" si="9"/>
        <v>356</v>
      </c>
      <c r="C280" s="27">
        <v>13</v>
      </c>
      <c r="D280" s="27">
        <v>18</v>
      </c>
      <c r="E280">
        <v>3</v>
      </c>
    </row>
    <row r="281" spans="1:5" x14ac:dyDescent="0.25">
      <c r="A281" t="str">
        <f t="shared" si="8"/>
        <v>13to19</v>
      </c>
      <c r="B281">
        <f t="shared" si="9"/>
        <v>357</v>
      </c>
      <c r="C281" s="27">
        <v>13</v>
      </c>
      <c r="D281" s="27">
        <v>19</v>
      </c>
      <c r="E281">
        <v>6.9</v>
      </c>
    </row>
    <row r="282" spans="1:5" x14ac:dyDescent="0.25">
      <c r="A282" t="str">
        <f t="shared" si="8"/>
        <v>13to20</v>
      </c>
      <c r="B282">
        <f t="shared" si="9"/>
        <v>358</v>
      </c>
      <c r="C282" s="27">
        <v>13</v>
      </c>
      <c r="D282" s="27">
        <v>20</v>
      </c>
      <c r="E282">
        <v>6.2</v>
      </c>
    </row>
    <row r="283" spans="1:5" x14ac:dyDescent="0.25">
      <c r="A283" t="str">
        <f t="shared" si="8"/>
        <v>13to21</v>
      </c>
      <c r="B283">
        <f t="shared" si="9"/>
        <v>359</v>
      </c>
      <c r="C283" s="27">
        <v>13</v>
      </c>
      <c r="D283" s="27">
        <v>21</v>
      </c>
      <c r="E283">
        <v>8.1999999999999993</v>
      </c>
    </row>
    <row r="284" spans="1:5" x14ac:dyDescent="0.25">
      <c r="A284" t="str">
        <f t="shared" si="8"/>
        <v>13to22</v>
      </c>
      <c r="B284">
        <f t="shared" si="9"/>
        <v>360</v>
      </c>
      <c r="C284" s="27">
        <v>13</v>
      </c>
      <c r="D284" s="27">
        <v>22</v>
      </c>
      <c r="E284">
        <v>5.5</v>
      </c>
    </row>
    <row r="285" spans="1:5" x14ac:dyDescent="0.25">
      <c r="A285" t="str">
        <f t="shared" si="8"/>
        <v>13to23</v>
      </c>
      <c r="B285">
        <f t="shared" si="9"/>
        <v>361</v>
      </c>
      <c r="C285" s="27">
        <v>13</v>
      </c>
      <c r="D285" s="27">
        <v>23</v>
      </c>
      <c r="E285">
        <v>4.4000000000000004</v>
      </c>
    </row>
    <row r="286" spans="1:5" x14ac:dyDescent="0.25">
      <c r="A286" t="str">
        <f t="shared" si="8"/>
        <v>13to24</v>
      </c>
      <c r="B286">
        <f t="shared" si="9"/>
        <v>362</v>
      </c>
      <c r="C286" s="27">
        <v>13</v>
      </c>
      <c r="D286" s="27">
        <v>24</v>
      </c>
      <c r="E286">
        <v>7.2</v>
      </c>
    </row>
    <row r="287" spans="1:5" x14ac:dyDescent="0.25">
      <c r="A287" t="str">
        <f t="shared" si="8"/>
        <v>13to25</v>
      </c>
      <c r="B287">
        <f t="shared" si="9"/>
        <v>363</v>
      </c>
      <c r="C287" s="27">
        <v>13</v>
      </c>
      <c r="D287" s="27">
        <v>25</v>
      </c>
      <c r="E287">
        <v>6.4</v>
      </c>
    </row>
    <row r="288" spans="1:5" x14ac:dyDescent="0.25">
      <c r="A288" t="str">
        <f t="shared" si="8"/>
        <v>13to26</v>
      </c>
      <c r="B288">
        <f t="shared" si="9"/>
        <v>364</v>
      </c>
      <c r="C288" s="27">
        <v>13</v>
      </c>
      <c r="D288" s="27">
        <v>26</v>
      </c>
      <c r="E288">
        <v>10.5</v>
      </c>
    </row>
    <row r="289" spans="1:5" x14ac:dyDescent="0.25">
      <c r="A289" t="str">
        <f t="shared" si="8"/>
        <v>14to14</v>
      </c>
      <c r="B289">
        <f t="shared" si="9"/>
        <v>378</v>
      </c>
      <c r="C289" s="27">
        <v>14</v>
      </c>
      <c r="D289" s="27">
        <v>14</v>
      </c>
      <c r="E289">
        <v>0</v>
      </c>
    </row>
    <row r="290" spans="1:5" x14ac:dyDescent="0.25">
      <c r="A290" t="str">
        <f t="shared" si="8"/>
        <v>14to15</v>
      </c>
      <c r="B290">
        <f t="shared" si="9"/>
        <v>379</v>
      </c>
      <c r="C290" s="27">
        <v>14</v>
      </c>
      <c r="D290" s="27">
        <v>15</v>
      </c>
      <c r="E290">
        <v>0.6</v>
      </c>
    </row>
    <row r="291" spans="1:5" x14ac:dyDescent="0.25">
      <c r="A291" t="str">
        <f t="shared" si="8"/>
        <v>14to16</v>
      </c>
      <c r="B291">
        <f t="shared" si="9"/>
        <v>380</v>
      </c>
      <c r="C291" s="27">
        <v>14</v>
      </c>
      <c r="D291" s="27">
        <v>16</v>
      </c>
      <c r="E291">
        <v>6.4</v>
      </c>
    </row>
    <row r="292" spans="1:5" x14ac:dyDescent="0.25">
      <c r="A292" t="str">
        <f t="shared" si="8"/>
        <v>14to17</v>
      </c>
      <c r="B292">
        <f t="shared" si="9"/>
        <v>381</v>
      </c>
      <c r="C292" s="27">
        <v>14</v>
      </c>
      <c r="D292" s="27">
        <v>17</v>
      </c>
      <c r="E292">
        <v>2.4</v>
      </c>
    </row>
    <row r="293" spans="1:5" x14ac:dyDescent="0.25">
      <c r="A293" t="str">
        <f t="shared" si="8"/>
        <v>14to18</v>
      </c>
      <c r="B293">
        <f t="shared" si="9"/>
        <v>382</v>
      </c>
      <c r="C293" s="27">
        <v>14</v>
      </c>
      <c r="D293" s="27">
        <v>18</v>
      </c>
      <c r="E293">
        <v>2.2000000000000002</v>
      </c>
    </row>
    <row r="294" spans="1:5" x14ac:dyDescent="0.25">
      <c r="A294" t="str">
        <f t="shared" si="8"/>
        <v>14to19</v>
      </c>
      <c r="B294">
        <f t="shared" si="9"/>
        <v>383</v>
      </c>
      <c r="C294" s="27">
        <v>14</v>
      </c>
      <c r="D294" s="27">
        <v>19</v>
      </c>
      <c r="E294">
        <v>6.8</v>
      </c>
    </row>
    <row r="295" spans="1:5" x14ac:dyDescent="0.25">
      <c r="A295" t="str">
        <f t="shared" si="8"/>
        <v>14to20</v>
      </c>
      <c r="B295">
        <f t="shared" si="9"/>
        <v>384</v>
      </c>
      <c r="C295" s="27">
        <v>14</v>
      </c>
      <c r="D295" s="27">
        <v>20</v>
      </c>
      <c r="E295">
        <v>5.3</v>
      </c>
    </row>
    <row r="296" spans="1:5" x14ac:dyDescent="0.25">
      <c r="A296" t="str">
        <f t="shared" si="8"/>
        <v>14to21</v>
      </c>
      <c r="B296">
        <f t="shared" si="9"/>
        <v>385</v>
      </c>
      <c r="C296" s="27">
        <v>14</v>
      </c>
      <c r="D296" s="27">
        <v>21</v>
      </c>
      <c r="E296">
        <v>7.4</v>
      </c>
    </row>
    <row r="297" spans="1:5" x14ac:dyDescent="0.25">
      <c r="A297" t="str">
        <f t="shared" si="8"/>
        <v>14to22</v>
      </c>
      <c r="B297">
        <f t="shared" si="9"/>
        <v>386</v>
      </c>
      <c r="C297" s="27">
        <v>14</v>
      </c>
      <c r="D297" s="27">
        <v>22</v>
      </c>
      <c r="E297">
        <v>4.5999999999999996</v>
      </c>
    </row>
    <row r="298" spans="1:5" x14ac:dyDescent="0.25">
      <c r="A298" t="str">
        <f t="shared" si="8"/>
        <v>14to23</v>
      </c>
      <c r="B298">
        <f t="shared" si="9"/>
        <v>387</v>
      </c>
      <c r="C298" s="27">
        <v>14</v>
      </c>
      <c r="D298" s="27">
        <v>23</v>
      </c>
      <c r="E298">
        <v>4.8</v>
      </c>
    </row>
    <row r="299" spans="1:5" x14ac:dyDescent="0.25">
      <c r="A299" t="str">
        <f t="shared" si="8"/>
        <v>14to24</v>
      </c>
      <c r="B299">
        <f t="shared" si="9"/>
        <v>388</v>
      </c>
      <c r="C299" s="27">
        <v>14</v>
      </c>
      <c r="D299" s="27">
        <v>24</v>
      </c>
      <c r="E299">
        <v>6.3</v>
      </c>
    </row>
    <row r="300" spans="1:5" x14ac:dyDescent="0.25">
      <c r="A300" t="str">
        <f t="shared" si="8"/>
        <v>14to25</v>
      </c>
      <c r="B300">
        <f t="shared" si="9"/>
        <v>389</v>
      </c>
      <c r="C300" s="27">
        <v>14</v>
      </c>
      <c r="D300" s="27">
        <v>25</v>
      </c>
      <c r="E300">
        <v>6.5</v>
      </c>
    </row>
    <row r="301" spans="1:5" x14ac:dyDescent="0.25">
      <c r="A301" t="str">
        <f t="shared" si="8"/>
        <v>14to26</v>
      </c>
      <c r="B301">
        <f t="shared" si="9"/>
        <v>390</v>
      </c>
      <c r="C301" s="27">
        <v>14</v>
      </c>
      <c r="D301" s="27">
        <v>26</v>
      </c>
      <c r="E301">
        <v>8.8000000000000007</v>
      </c>
    </row>
    <row r="302" spans="1:5" x14ac:dyDescent="0.25">
      <c r="A302" t="str">
        <f t="shared" si="8"/>
        <v>15to15</v>
      </c>
      <c r="B302">
        <f t="shared" si="9"/>
        <v>405</v>
      </c>
      <c r="C302" s="27">
        <v>15</v>
      </c>
      <c r="D302" s="27">
        <v>15</v>
      </c>
      <c r="E302">
        <v>0</v>
      </c>
    </row>
    <row r="303" spans="1:5" x14ac:dyDescent="0.25">
      <c r="A303" t="str">
        <f t="shared" si="8"/>
        <v>15to16</v>
      </c>
      <c r="B303">
        <f t="shared" si="9"/>
        <v>406</v>
      </c>
      <c r="C303" s="27">
        <v>15</v>
      </c>
      <c r="D303" s="27">
        <v>16</v>
      </c>
      <c r="E303">
        <v>5.6</v>
      </c>
    </row>
    <row r="304" spans="1:5" x14ac:dyDescent="0.25">
      <c r="A304" t="str">
        <f t="shared" si="8"/>
        <v>15to17</v>
      </c>
      <c r="B304">
        <f t="shared" si="9"/>
        <v>407</v>
      </c>
      <c r="C304" s="27">
        <v>15</v>
      </c>
      <c r="D304" s="27">
        <v>17</v>
      </c>
      <c r="E304">
        <v>1.6</v>
      </c>
    </row>
    <row r="305" spans="1:5" x14ac:dyDescent="0.25">
      <c r="A305" t="str">
        <f t="shared" si="8"/>
        <v>15to18</v>
      </c>
      <c r="B305">
        <f t="shared" si="9"/>
        <v>408</v>
      </c>
      <c r="C305" s="27">
        <v>15</v>
      </c>
      <c r="D305" s="27">
        <v>18</v>
      </c>
      <c r="E305">
        <v>1.7</v>
      </c>
    </row>
    <row r="306" spans="1:5" x14ac:dyDescent="0.25">
      <c r="A306" t="str">
        <f t="shared" si="8"/>
        <v>15to19</v>
      </c>
      <c r="B306">
        <f t="shared" si="9"/>
        <v>409</v>
      </c>
      <c r="C306" s="27">
        <v>15</v>
      </c>
      <c r="D306" s="27">
        <v>19</v>
      </c>
      <c r="E306">
        <v>6.4</v>
      </c>
    </row>
    <row r="307" spans="1:5" x14ac:dyDescent="0.25">
      <c r="A307" t="str">
        <f t="shared" si="8"/>
        <v>15to20</v>
      </c>
      <c r="B307">
        <f t="shared" si="9"/>
        <v>410</v>
      </c>
      <c r="C307" s="27">
        <v>15</v>
      </c>
      <c r="D307" s="27">
        <v>20</v>
      </c>
      <c r="E307">
        <v>4.9000000000000004</v>
      </c>
    </row>
    <row r="308" spans="1:5" x14ac:dyDescent="0.25">
      <c r="A308" t="str">
        <f t="shared" si="8"/>
        <v>15to21</v>
      </c>
      <c r="B308">
        <f t="shared" si="9"/>
        <v>411</v>
      </c>
      <c r="C308" s="27">
        <v>15</v>
      </c>
      <c r="D308" s="27">
        <v>21</v>
      </c>
      <c r="E308">
        <v>6.9</v>
      </c>
    </row>
    <row r="309" spans="1:5" x14ac:dyDescent="0.25">
      <c r="A309" t="str">
        <f t="shared" si="8"/>
        <v>15to22</v>
      </c>
      <c r="B309">
        <f t="shared" si="9"/>
        <v>412</v>
      </c>
      <c r="C309" s="27">
        <v>15</v>
      </c>
      <c r="D309" s="27">
        <v>22</v>
      </c>
      <c r="E309">
        <v>4.2</v>
      </c>
    </row>
    <row r="310" spans="1:5" x14ac:dyDescent="0.25">
      <c r="A310" t="str">
        <f t="shared" si="8"/>
        <v>15to23</v>
      </c>
      <c r="B310">
        <f t="shared" si="9"/>
        <v>413</v>
      </c>
      <c r="C310" s="27">
        <v>15</v>
      </c>
      <c r="D310" s="27">
        <v>23</v>
      </c>
      <c r="E310">
        <v>5.6</v>
      </c>
    </row>
    <row r="311" spans="1:5" x14ac:dyDescent="0.25">
      <c r="A311" t="str">
        <f t="shared" si="8"/>
        <v>15to24</v>
      </c>
      <c r="B311">
        <f t="shared" si="9"/>
        <v>414</v>
      </c>
      <c r="C311" s="27">
        <v>15</v>
      </c>
      <c r="D311" s="27">
        <v>24</v>
      </c>
      <c r="E311">
        <v>5.9</v>
      </c>
    </row>
    <row r="312" spans="1:5" x14ac:dyDescent="0.25">
      <c r="A312" t="str">
        <f t="shared" si="8"/>
        <v>15to25</v>
      </c>
      <c r="B312">
        <f t="shared" si="9"/>
        <v>415</v>
      </c>
      <c r="C312" s="27">
        <v>15</v>
      </c>
      <c r="D312" s="27">
        <v>25</v>
      </c>
      <c r="E312">
        <v>5.7</v>
      </c>
    </row>
    <row r="313" spans="1:5" x14ac:dyDescent="0.25">
      <c r="A313" t="str">
        <f t="shared" si="8"/>
        <v>15to26</v>
      </c>
      <c r="B313">
        <f t="shared" si="9"/>
        <v>416</v>
      </c>
      <c r="C313" s="27">
        <v>15</v>
      </c>
      <c r="D313" s="27">
        <v>26</v>
      </c>
      <c r="E313">
        <v>8.4</v>
      </c>
    </row>
    <row r="314" spans="1:5" x14ac:dyDescent="0.25">
      <c r="A314" t="str">
        <f t="shared" si="8"/>
        <v>16to16</v>
      </c>
      <c r="B314">
        <f t="shared" si="9"/>
        <v>432</v>
      </c>
      <c r="C314" s="27">
        <v>16</v>
      </c>
      <c r="D314" s="27">
        <v>16</v>
      </c>
      <c r="E314">
        <v>0</v>
      </c>
    </row>
    <row r="315" spans="1:5" x14ac:dyDescent="0.25">
      <c r="A315" t="str">
        <f t="shared" si="8"/>
        <v>16to17</v>
      </c>
      <c r="B315">
        <f t="shared" si="9"/>
        <v>433</v>
      </c>
      <c r="C315" s="27">
        <v>16</v>
      </c>
      <c r="D315" s="27">
        <v>17</v>
      </c>
      <c r="E315">
        <v>7.1</v>
      </c>
    </row>
    <row r="316" spans="1:5" x14ac:dyDescent="0.25">
      <c r="A316" t="str">
        <f t="shared" si="8"/>
        <v>16to18</v>
      </c>
      <c r="B316">
        <f t="shared" si="9"/>
        <v>434</v>
      </c>
      <c r="C316" s="27">
        <v>16</v>
      </c>
      <c r="D316" s="27">
        <v>18</v>
      </c>
      <c r="E316">
        <v>6.1</v>
      </c>
    </row>
    <row r="317" spans="1:5" x14ac:dyDescent="0.25">
      <c r="A317" t="str">
        <f t="shared" si="8"/>
        <v>16to19</v>
      </c>
      <c r="B317">
        <f t="shared" si="9"/>
        <v>435</v>
      </c>
      <c r="C317" s="27">
        <v>16</v>
      </c>
      <c r="D317" s="27">
        <v>19</v>
      </c>
      <c r="E317">
        <v>7.2</v>
      </c>
    </row>
    <row r="318" spans="1:5" x14ac:dyDescent="0.25">
      <c r="A318" t="str">
        <f t="shared" si="8"/>
        <v>16to20</v>
      </c>
      <c r="B318">
        <f t="shared" si="9"/>
        <v>436</v>
      </c>
      <c r="C318" s="27">
        <v>16</v>
      </c>
      <c r="D318" s="27">
        <v>20</v>
      </c>
      <c r="E318">
        <v>10.6</v>
      </c>
    </row>
    <row r="319" spans="1:5" x14ac:dyDescent="0.25">
      <c r="A319" t="str">
        <f t="shared" si="8"/>
        <v>16to21</v>
      </c>
      <c r="B319">
        <f t="shared" si="9"/>
        <v>437</v>
      </c>
      <c r="C319" s="27">
        <v>16</v>
      </c>
      <c r="D319" s="27">
        <v>21</v>
      </c>
      <c r="E319">
        <v>12</v>
      </c>
    </row>
    <row r="320" spans="1:5" x14ac:dyDescent="0.25">
      <c r="A320" t="str">
        <f t="shared" si="8"/>
        <v>16to22</v>
      </c>
      <c r="B320">
        <f t="shared" si="9"/>
        <v>438</v>
      </c>
      <c r="C320" s="27">
        <v>16</v>
      </c>
      <c r="D320" s="27">
        <v>22</v>
      </c>
      <c r="E320">
        <v>9.4</v>
      </c>
    </row>
    <row r="321" spans="1:5" x14ac:dyDescent="0.25">
      <c r="A321" t="str">
        <f t="shared" si="8"/>
        <v>16to23</v>
      </c>
      <c r="B321">
        <f t="shared" si="9"/>
        <v>439</v>
      </c>
      <c r="C321" s="27">
        <v>16</v>
      </c>
      <c r="D321" s="27">
        <v>23</v>
      </c>
      <c r="E321">
        <v>7.5</v>
      </c>
    </row>
    <row r="322" spans="1:5" x14ac:dyDescent="0.25">
      <c r="A322" t="str">
        <f t="shared" si="8"/>
        <v>16to24</v>
      </c>
      <c r="B322">
        <f t="shared" si="9"/>
        <v>440</v>
      </c>
      <c r="C322" s="27">
        <v>16</v>
      </c>
      <c r="D322" s="27">
        <v>24</v>
      </c>
      <c r="E322">
        <v>11.1</v>
      </c>
    </row>
    <row r="323" spans="1:5" x14ac:dyDescent="0.25">
      <c r="A323" t="str">
        <f t="shared" ref="A323:A379" si="10">C323&amp;"to"&amp;D323</f>
        <v>16to25</v>
      </c>
      <c r="B323">
        <f t="shared" ref="B323:B379" si="11">C323*26+D323</f>
        <v>441</v>
      </c>
      <c r="C323" s="27">
        <v>16</v>
      </c>
      <c r="D323" s="27">
        <v>25</v>
      </c>
      <c r="E323">
        <v>6.2</v>
      </c>
    </row>
    <row r="324" spans="1:5" x14ac:dyDescent="0.25">
      <c r="A324" t="str">
        <f t="shared" si="10"/>
        <v>16to26</v>
      </c>
      <c r="B324">
        <f t="shared" si="11"/>
        <v>442</v>
      </c>
      <c r="C324" s="27">
        <v>16</v>
      </c>
      <c r="D324" s="27">
        <v>26</v>
      </c>
      <c r="E324">
        <v>13.6</v>
      </c>
    </row>
    <row r="325" spans="1:5" x14ac:dyDescent="0.25">
      <c r="A325" t="str">
        <f t="shared" si="10"/>
        <v>17to17</v>
      </c>
      <c r="B325">
        <f t="shared" si="11"/>
        <v>459</v>
      </c>
      <c r="C325" s="27">
        <v>17</v>
      </c>
      <c r="D325" s="27">
        <v>17</v>
      </c>
      <c r="E325">
        <v>0</v>
      </c>
    </row>
    <row r="326" spans="1:5" x14ac:dyDescent="0.25">
      <c r="A326" t="str">
        <f t="shared" si="10"/>
        <v>17to18</v>
      </c>
      <c r="B326">
        <f t="shared" si="11"/>
        <v>460</v>
      </c>
      <c r="C326" s="27">
        <v>17</v>
      </c>
      <c r="D326" s="27">
        <v>18</v>
      </c>
      <c r="E326">
        <v>1.6</v>
      </c>
    </row>
    <row r="327" spans="1:5" x14ac:dyDescent="0.25">
      <c r="A327" t="str">
        <f t="shared" si="10"/>
        <v>17to19</v>
      </c>
      <c r="B327">
        <f t="shared" si="11"/>
        <v>461</v>
      </c>
      <c r="C327" s="27">
        <v>17</v>
      </c>
      <c r="D327" s="27">
        <v>19</v>
      </c>
      <c r="E327">
        <v>4.9000000000000004</v>
      </c>
    </row>
    <row r="328" spans="1:5" x14ac:dyDescent="0.25">
      <c r="A328" t="str">
        <f t="shared" si="10"/>
        <v>17to20</v>
      </c>
      <c r="B328">
        <f t="shared" si="11"/>
        <v>462</v>
      </c>
      <c r="C328" s="27">
        <v>17</v>
      </c>
      <c r="D328" s="27">
        <v>20</v>
      </c>
      <c r="E328">
        <v>3</v>
      </c>
    </row>
    <row r="329" spans="1:5" x14ac:dyDescent="0.25">
      <c r="A329" t="str">
        <f t="shared" si="10"/>
        <v>17to21</v>
      </c>
      <c r="B329">
        <f t="shared" si="11"/>
        <v>463</v>
      </c>
      <c r="C329" s="27">
        <v>17</v>
      </c>
      <c r="D329" s="27">
        <v>21</v>
      </c>
      <c r="E329">
        <v>5</v>
      </c>
    </row>
    <row r="330" spans="1:5" x14ac:dyDescent="0.25">
      <c r="A330" t="str">
        <f t="shared" si="10"/>
        <v>17to22</v>
      </c>
      <c r="B330">
        <f t="shared" si="11"/>
        <v>464</v>
      </c>
      <c r="C330" s="27">
        <v>17</v>
      </c>
      <c r="D330" s="27">
        <v>22</v>
      </c>
      <c r="E330">
        <v>2.2999999999999998</v>
      </c>
    </row>
    <row r="331" spans="1:5" x14ac:dyDescent="0.25">
      <c r="A331" t="str">
        <f t="shared" si="10"/>
        <v>17to23</v>
      </c>
      <c r="B331">
        <f t="shared" si="11"/>
        <v>465</v>
      </c>
      <c r="C331" s="27">
        <v>17</v>
      </c>
      <c r="D331" s="27">
        <v>23</v>
      </c>
      <c r="E331">
        <v>5.5</v>
      </c>
    </row>
    <row r="332" spans="1:5" x14ac:dyDescent="0.25">
      <c r="A332" t="str">
        <f t="shared" si="10"/>
        <v>17to24</v>
      </c>
      <c r="B332">
        <f t="shared" si="11"/>
        <v>466</v>
      </c>
      <c r="C332" s="27">
        <v>17</v>
      </c>
      <c r="D332" s="27">
        <v>24</v>
      </c>
      <c r="E332">
        <v>4</v>
      </c>
    </row>
    <row r="333" spans="1:5" x14ac:dyDescent="0.25">
      <c r="A333" t="str">
        <f t="shared" si="10"/>
        <v>17to25</v>
      </c>
      <c r="B333">
        <f t="shared" si="11"/>
        <v>467</v>
      </c>
      <c r="C333" s="27">
        <v>17</v>
      </c>
      <c r="D333" s="27">
        <v>25</v>
      </c>
      <c r="E333">
        <v>5.0999999999999996</v>
      </c>
    </row>
    <row r="334" spans="1:5" x14ac:dyDescent="0.25">
      <c r="A334" t="str">
        <f t="shared" si="10"/>
        <v>17to26</v>
      </c>
      <c r="B334">
        <f t="shared" si="11"/>
        <v>468</v>
      </c>
      <c r="C334" s="27">
        <v>17</v>
      </c>
      <c r="D334" s="27">
        <v>26</v>
      </c>
      <c r="E334">
        <v>5.2</v>
      </c>
    </row>
    <row r="335" spans="1:5" x14ac:dyDescent="0.25">
      <c r="A335" t="str">
        <f t="shared" si="10"/>
        <v>18to18</v>
      </c>
      <c r="B335">
        <f t="shared" si="11"/>
        <v>486</v>
      </c>
      <c r="C335" s="27">
        <v>18</v>
      </c>
      <c r="D335" s="27">
        <v>18</v>
      </c>
      <c r="E335">
        <v>0</v>
      </c>
    </row>
    <row r="336" spans="1:5" x14ac:dyDescent="0.25">
      <c r="A336" t="str">
        <f t="shared" si="10"/>
        <v>18to19</v>
      </c>
      <c r="B336">
        <f t="shared" si="11"/>
        <v>487</v>
      </c>
      <c r="C336" s="27">
        <v>18</v>
      </c>
      <c r="D336" s="27">
        <v>19</v>
      </c>
      <c r="E336">
        <v>4.4000000000000004</v>
      </c>
    </row>
    <row r="337" spans="1:5" x14ac:dyDescent="0.25">
      <c r="A337" t="str">
        <f t="shared" si="10"/>
        <v>18to20</v>
      </c>
      <c r="B337">
        <f t="shared" si="11"/>
        <v>488</v>
      </c>
      <c r="C337" s="27">
        <v>18</v>
      </c>
      <c r="D337" s="27">
        <v>20</v>
      </c>
      <c r="E337">
        <v>4.5999999999999996</v>
      </c>
    </row>
    <row r="338" spans="1:5" x14ac:dyDescent="0.25">
      <c r="A338" t="str">
        <f t="shared" si="10"/>
        <v>18to21</v>
      </c>
      <c r="B338">
        <f t="shared" si="11"/>
        <v>489</v>
      </c>
      <c r="C338" s="27">
        <v>18</v>
      </c>
      <c r="D338" s="27">
        <v>21</v>
      </c>
      <c r="E338">
        <v>6.6</v>
      </c>
    </row>
    <row r="339" spans="1:5" x14ac:dyDescent="0.25">
      <c r="A339" t="str">
        <f t="shared" si="10"/>
        <v>18to22</v>
      </c>
      <c r="B339">
        <f t="shared" si="11"/>
        <v>490</v>
      </c>
      <c r="C339" s="27">
        <v>18</v>
      </c>
      <c r="D339" s="27">
        <v>22</v>
      </c>
      <c r="E339">
        <v>3.9</v>
      </c>
    </row>
    <row r="340" spans="1:5" x14ac:dyDescent="0.25">
      <c r="A340" t="str">
        <f t="shared" si="10"/>
        <v>18to23</v>
      </c>
      <c r="B340">
        <f t="shared" si="11"/>
        <v>491</v>
      </c>
      <c r="C340" s="27">
        <v>18</v>
      </c>
      <c r="D340" s="27">
        <v>23</v>
      </c>
      <c r="E340">
        <v>6.5</v>
      </c>
    </row>
    <row r="341" spans="1:5" x14ac:dyDescent="0.25">
      <c r="A341" t="str">
        <f t="shared" si="10"/>
        <v>18to24</v>
      </c>
      <c r="B341">
        <f t="shared" si="11"/>
        <v>492</v>
      </c>
      <c r="C341" s="27">
        <v>18</v>
      </c>
      <c r="D341" s="27">
        <v>24</v>
      </c>
      <c r="E341">
        <v>5.6</v>
      </c>
    </row>
    <row r="342" spans="1:5" x14ac:dyDescent="0.25">
      <c r="A342" t="str">
        <f t="shared" si="10"/>
        <v>18to25</v>
      </c>
      <c r="B342">
        <f t="shared" si="11"/>
        <v>493</v>
      </c>
      <c r="C342" s="27">
        <v>18</v>
      </c>
      <c r="D342" s="27">
        <v>25</v>
      </c>
      <c r="E342">
        <v>4.3</v>
      </c>
    </row>
    <row r="343" spans="1:5" x14ac:dyDescent="0.25">
      <c r="A343" t="str">
        <f t="shared" si="10"/>
        <v>18to26</v>
      </c>
      <c r="B343">
        <f t="shared" si="11"/>
        <v>494</v>
      </c>
      <c r="C343" s="27">
        <v>18</v>
      </c>
      <c r="D343" s="27">
        <v>26</v>
      </c>
      <c r="E343">
        <v>6.9</v>
      </c>
    </row>
    <row r="344" spans="1:5" x14ac:dyDescent="0.25">
      <c r="A344" t="str">
        <f t="shared" si="10"/>
        <v>19to19</v>
      </c>
      <c r="B344">
        <f t="shared" si="11"/>
        <v>513</v>
      </c>
      <c r="C344" s="27">
        <v>19</v>
      </c>
      <c r="D344" s="27">
        <v>19</v>
      </c>
      <c r="E344">
        <v>0</v>
      </c>
    </row>
    <row r="345" spans="1:5" x14ac:dyDescent="0.25">
      <c r="A345" t="str">
        <f t="shared" si="10"/>
        <v>19to20</v>
      </c>
      <c r="B345">
        <f t="shared" si="11"/>
        <v>514</v>
      </c>
      <c r="C345" s="27">
        <v>19</v>
      </c>
      <c r="D345" s="27">
        <v>20</v>
      </c>
      <c r="E345">
        <v>7.5</v>
      </c>
    </row>
    <row r="346" spans="1:5" x14ac:dyDescent="0.25">
      <c r="A346" t="str">
        <f t="shared" si="10"/>
        <v>19to21</v>
      </c>
      <c r="B346">
        <f t="shared" si="11"/>
        <v>515</v>
      </c>
      <c r="C346" s="27">
        <v>19</v>
      </c>
      <c r="D346" s="27">
        <v>21</v>
      </c>
      <c r="E346">
        <v>9.3000000000000007</v>
      </c>
    </row>
    <row r="347" spans="1:5" x14ac:dyDescent="0.25">
      <c r="A347" t="str">
        <f t="shared" si="10"/>
        <v>19to22</v>
      </c>
      <c r="B347">
        <f t="shared" si="11"/>
        <v>516</v>
      </c>
      <c r="C347" s="27">
        <v>19</v>
      </c>
      <c r="D347" s="27">
        <v>22</v>
      </c>
      <c r="E347">
        <v>6.8</v>
      </c>
    </row>
    <row r="348" spans="1:5" x14ac:dyDescent="0.25">
      <c r="A348" t="str">
        <f t="shared" si="10"/>
        <v>19to23</v>
      </c>
      <c r="B348">
        <f t="shared" si="11"/>
        <v>517</v>
      </c>
      <c r="C348" s="27">
        <v>19</v>
      </c>
      <c r="D348" s="27">
        <v>23</v>
      </c>
      <c r="E348">
        <v>11.4</v>
      </c>
    </row>
    <row r="349" spans="1:5" x14ac:dyDescent="0.25">
      <c r="A349" t="str">
        <f t="shared" si="10"/>
        <v>19to24</v>
      </c>
      <c r="B349">
        <f t="shared" si="11"/>
        <v>518</v>
      </c>
      <c r="C349" s="27">
        <v>19</v>
      </c>
      <c r="D349" s="27">
        <v>24</v>
      </c>
      <c r="E349">
        <v>8.5</v>
      </c>
    </row>
    <row r="350" spans="1:5" x14ac:dyDescent="0.25">
      <c r="A350" t="str">
        <f t="shared" si="10"/>
        <v>19to25</v>
      </c>
      <c r="B350">
        <f t="shared" si="11"/>
        <v>519</v>
      </c>
      <c r="C350" s="27">
        <v>19</v>
      </c>
      <c r="D350" s="27">
        <v>25</v>
      </c>
      <c r="E350">
        <v>1.8</v>
      </c>
    </row>
    <row r="351" spans="1:5" x14ac:dyDescent="0.25">
      <c r="A351" t="str">
        <f t="shared" si="10"/>
        <v>19to26</v>
      </c>
      <c r="B351">
        <f t="shared" si="11"/>
        <v>520</v>
      </c>
      <c r="C351" s="27">
        <v>19</v>
      </c>
      <c r="D351" s="27">
        <v>26</v>
      </c>
      <c r="E351">
        <v>13.1</v>
      </c>
    </row>
    <row r="352" spans="1:5" x14ac:dyDescent="0.25">
      <c r="A352" t="str">
        <f t="shared" si="10"/>
        <v>20to20</v>
      </c>
      <c r="B352">
        <f t="shared" si="11"/>
        <v>540</v>
      </c>
      <c r="C352" s="27">
        <v>20</v>
      </c>
      <c r="D352" s="27">
        <v>20</v>
      </c>
      <c r="E352">
        <v>0</v>
      </c>
    </row>
    <row r="353" spans="1:5" x14ac:dyDescent="0.25">
      <c r="A353" t="str">
        <f t="shared" si="10"/>
        <v>20to21</v>
      </c>
      <c r="B353">
        <f t="shared" si="11"/>
        <v>541</v>
      </c>
      <c r="C353" s="27">
        <v>20</v>
      </c>
      <c r="D353" s="27">
        <v>21</v>
      </c>
      <c r="E353">
        <v>2</v>
      </c>
    </row>
    <row r="354" spans="1:5" x14ac:dyDescent="0.25">
      <c r="A354" t="str">
        <f t="shared" si="10"/>
        <v>20to22</v>
      </c>
      <c r="B354">
        <f t="shared" si="11"/>
        <v>542</v>
      </c>
      <c r="C354" s="27">
        <v>20</v>
      </c>
      <c r="D354" s="27">
        <v>22</v>
      </c>
      <c r="E354">
        <v>2.9</v>
      </c>
    </row>
    <row r="355" spans="1:5" x14ac:dyDescent="0.25">
      <c r="A355" t="str">
        <f t="shared" si="10"/>
        <v>20to23</v>
      </c>
      <c r="B355">
        <f t="shared" si="11"/>
        <v>543</v>
      </c>
      <c r="C355" s="27">
        <v>20</v>
      </c>
      <c r="D355" s="27">
        <v>23</v>
      </c>
      <c r="E355">
        <v>6.4</v>
      </c>
    </row>
    <row r="356" spans="1:5" x14ac:dyDescent="0.25">
      <c r="A356" t="str">
        <f t="shared" si="10"/>
        <v>20to24</v>
      </c>
      <c r="B356">
        <f t="shared" si="11"/>
        <v>544</v>
      </c>
      <c r="C356" s="27">
        <v>20</v>
      </c>
      <c r="D356" s="27">
        <v>24</v>
      </c>
      <c r="E356">
        <v>2.8</v>
      </c>
    </row>
    <row r="357" spans="1:5" x14ac:dyDescent="0.25">
      <c r="A357" t="str">
        <f t="shared" si="10"/>
        <v>20to25</v>
      </c>
      <c r="B357">
        <f t="shared" si="11"/>
        <v>545</v>
      </c>
      <c r="C357" s="27">
        <v>20</v>
      </c>
      <c r="D357" s="27">
        <v>25</v>
      </c>
      <c r="E357">
        <v>6</v>
      </c>
    </row>
    <row r="358" spans="1:5" x14ac:dyDescent="0.25">
      <c r="A358" t="str">
        <f t="shared" si="10"/>
        <v>20to26</v>
      </c>
      <c r="B358">
        <f t="shared" si="11"/>
        <v>546</v>
      </c>
      <c r="C358" s="27">
        <v>20</v>
      </c>
      <c r="D358" s="27">
        <v>26</v>
      </c>
      <c r="E358">
        <v>4.0999999999999996</v>
      </c>
    </row>
    <row r="359" spans="1:5" x14ac:dyDescent="0.25">
      <c r="A359" t="str">
        <f t="shared" si="10"/>
        <v>21to21</v>
      </c>
      <c r="B359">
        <f t="shared" si="11"/>
        <v>567</v>
      </c>
      <c r="C359" s="27">
        <v>21</v>
      </c>
      <c r="D359" s="27">
        <v>21</v>
      </c>
      <c r="E359">
        <v>0</v>
      </c>
    </row>
    <row r="360" spans="1:5" x14ac:dyDescent="0.25">
      <c r="A360" t="str">
        <f t="shared" si="10"/>
        <v>21to22</v>
      </c>
      <c r="B360">
        <f t="shared" si="11"/>
        <v>568</v>
      </c>
      <c r="C360" s="27">
        <v>21</v>
      </c>
      <c r="D360" s="27">
        <v>22</v>
      </c>
      <c r="E360">
        <v>4.4000000000000004</v>
      </c>
    </row>
    <row r="361" spans="1:5" x14ac:dyDescent="0.25">
      <c r="A361" t="str">
        <f t="shared" si="10"/>
        <v>21to23</v>
      </c>
      <c r="B361">
        <f t="shared" si="11"/>
        <v>569</v>
      </c>
      <c r="C361" s="27">
        <v>21</v>
      </c>
      <c r="D361" s="27">
        <v>23</v>
      </c>
      <c r="E361">
        <v>7.9</v>
      </c>
    </row>
    <row r="362" spans="1:5" x14ac:dyDescent="0.25">
      <c r="A362" t="str">
        <f t="shared" si="10"/>
        <v>21to24</v>
      </c>
      <c r="B362">
        <f t="shared" si="11"/>
        <v>570</v>
      </c>
      <c r="C362" s="27">
        <v>21</v>
      </c>
      <c r="D362" s="27">
        <v>24</v>
      </c>
      <c r="E362">
        <v>3.4</v>
      </c>
    </row>
    <row r="363" spans="1:5" x14ac:dyDescent="0.25">
      <c r="A363" t="str">
        <f t="shared" si="10"/>
        <v>21to25</v>
      </c>
      <c r="B363">
        <f t="shared" si="11"/>
        <v>571</v>
      </c>
      <c r="C363" s="27">
        <v>21</v>
      </c>
      <c r="D363" s="27">
        <v>25</v>
      </c>
      <c r="E363">
        <v>7.9</v>
      </c>
    </row>
    <row r="364" spans="1:5" x14ac:dyDescent="0.25">
      <c r="A364" t="str">
        <f t="shared" si="10"/>
        <v>21to26</v>
      </c>
      <c r="B364">
        <f t="shared" si="11"/>
        <v>572</v>
      </c>
      <c r="C364" s="27">
        <v>21</v>
      </c>
      <c r="D364" s="27">
        <v>26</v>
      </c>
      <c r="E364">
        <v>4.7</v>
      </c>
    </row>
    <row r="365" spans="1:5" x14ac:dyDescent="0.25">
      <c r="A365" t="str">
        <f t="shared" si="10"/>
        <v>22to22</v>
      </c>
      <c r="B365">
        <f t="shared" si="11"/>
        <v>594</v>
      </c>
      <c r="C365" s="27">
        <v>22</v>
      </c>
      <c r="D365" s="27">
        <v>22</v>
      </c>
      <c r="E365">
        <v>0</v>
      </c>
    </row>
    <row r="366" spans="1:5" x14ac:dyDescent="0.25">
      <c r="A366" t="str">
        <f t="shared" si="10"/>
        <v>22to23</v>
      </c>
      <c r="B366">
        <f t="shared" si="11"/>
        <v>595</v>
      </c>
      <c r="C366" s="27">
        <v>22</v>
      </c>
      <c r="D366" s="27">
        <v>23</v>
      </c>
      <c r="E366">
        <v>4.5</v>
      </c>
    </row>
    <row r="367" spans="1:5" x14ac:dyDescent="0.25">
      <c r="A367" t="str">
        <f t="shared" si="10"/>
        <v>22to24</v>
      </c>
      <c r="B367">
        <f t="shared" si="11"/>
        <v>596</v>
      </c>
      <c r="C367" s="27">
        <v>22</v>
      </c>
      <c r="D367" s="27">
        <v>24</v>
      </c>
      <c r="E367">
        <v>1.7</v>
      </c>
    </row>
    <row r="368" spans="1:5" x14ac:dyDescent="0.25">
      <c r="A368" t="str">
        <f t="shared" si="10"/>
        <v>22to25</v>
      </c>
      <c r="B368">
        <f t="shared" si="11"/>
        <v>597</v>
      </c>
      <c r="C368" s="27">
        <v>22</v>
      </c>
      <c r="D368" s="27">
        <v>25</v>
      </c>
      <c r="E368">
        <v>6.8</v>
      </c>
    </row>
    <row r="369" spans="1:5" x14ac:dyDescent="0.25">
      <c r="A369" t="str">
        <f t="shared" si="10"/>
        <v>22to26</v>
      </c>
      <c r="B369">
        <f t="shared" si="11"/>
        <v>598</v>
      </c>
      <c r="C369" s="27">
        <v>22</v>
      </c>
      <c r="D369" s="27">
        <v>26</v>
      </c>
      <c r="E369">
        <v>3.1</v>
      </c>
    </row>
    <row r="370" spans="1:5" x14ac:dyDescent="0.25">
      <c r="A370" t="str">
        <f t="shared" si="10"/>
        <v>23to23</v>
      </c>
      <c r="B370">
        <f t="shared" si="11"/>
        <v>621</v>
      </c>
      <c r="C370" s="27">
        <v>23</v>
      </c>
      <c r="D370" s="27">
        <v>23</v>
      </c>
      <c r="E370">
        <v>0</v>
      </c>
    </row>
    <row r="371" spans="1:5" x14ac:dyDescent="0.25">
      <c r="A371" t="str">
        <f t="shared" si="10"/>
        <v>23to24</v>
      </c>
      <c r="B371">
        <f t="shared" si="11"/>
        <v>622</v>
      </c>
      <c r="C371" s="27">
        <v>23</v>
      </c>
      <c r="D371" s="27">
        <v>24</v>
      </c>
      <c r="E371">
        <v>5.4</v>
      </c>
    </row>
    <row r="372" spans="1:5" x14ac:dyDescent="0.25">
      <c r="A372" t="str">
        <f t="shared" si="10"/>
        <v>23to25</v>
      </c>
      <c r="B372">
        <f t="shared" si="11"/>
        <v>623</v>
      </c>
      <c r="C372" s="27">
        <v>23</v>
      </c>
      <c r="D372" s="27">
        <v>25</v>
      </c>
      <c r="E372">
        <v>10.6</v>
      </c>
    </row>
    <row r="373" spans="1:5" x14ac:dyDescent="0.25">
      <c r="A373" t="str">
        <f t="shared" si="10"/>
        <v>23to26</v>
      </c>
      <c r="B373">
        <f t="shared" si="11"/>
        <v>624</v>
      </c>
      <c r="C373" s="27">
        <v>23</v>
      </c>
      <c r="D373" s="27">
        <v>26</v>
      </c>
      <c r="E373">
        <v>7.8</v>
      </c>
    </row>
    <row r="374" spans="1:5" x14ac:dyDescent="0.25">
      <c r="A374" t="str">
        <f t="shared" si="10"/>
        <v>24to24</v>
      </c>
      <c r="B374">
        <f t="shared" si="11"/>
        <v>648</v>
      </c>
      <c r="C374" s="27">
        <v>24</v>
      </c>
      <c r="D374" s="27">
        <v>24</v>
      </c>
      <c r="E374">
        <v>0</v>
      </c>
    </row>
    <row r="375" spans="1:5" x14ac:dyDescent="0.25">
      <c r="A375" t="str">
        <f t="shared" si="10"/>
        <v>24to25</v>
      </c>
      <c r="B375">
        <f t="shared" si="11"/>
        <v>649</v>
      </c>
      <c r="C375" s="27">
        <v>24</v>
      </c>
      <c r="D375" s="27">
        <v>25</v>
      </c>
      <c r="E375">
        <v>7</v>
      </c>
    </row>
    <row r="376" spans="1:5" x14ac:dyDescent="0.25">
      <c r="A376" t="str">
        <f t="shared" si="10"/>
        <v>24to26</v>
      </c>
      <c r="B376">
        <f t="shared" si="11"/>
        <v>650</v>
      </c>
      <c r="C376" s="27">
        <v>24</v>
      </c>
      <c r="D376" s="27">
        <v>26</v>
      </c>
      <c r="E376">
        <v>1.3</v>
      </c>
    </row>
    <row r="377" spans="1:5" x14ac:dyDescent="0.25">
      <c r="A377" t="str">
        <f t="shared" si="10"/>
        <v>25to25</v>
      </c>
      <c r="B377">
        <f t="shared" si="11"/>
        <v>675</v>
      </c>
      <c r="C377" s="27">
        <v>25</v>
      </c>
      <c r="D377" s="27">
        <v>25</v>
      </c>
      <c r="E377">
        <v>0</v>
      </c>
    </row>
    <row r="378" spans="1:5" x14ac:dyDescent="0.25">
      <c r="A378" t="str">
        <f t="shared" si="10"/>
        <v>25to26</v>
      </c>
      <c r="B378">
        <f t="shared" si="11"/>
        <v>676</v>
      </c>
      <c r="C378" s="27">
        <v>25</v>
      </c>
      <c r="D378" s="27">
        <v>26</v>
      </c>
      <c r="E378">
        <v>8.3000000000000007</v>
      </c>
    </row>
    <row r="379" spans="1:5" x14ac:dyDescent="0.25">
      <c r="A379" t="str">
        <f t="shared" si="10"/>
        <v>26to26</v>
      </c>
      <c r="B379">
        <f t="shared" si="11"/>
        <v>702</v>
      </c>
      <c r="C379" s="27">
        <v>26</v>
      </c>
      <c r="D379" s="27">
        <v>26</v>
      </c>
      <c r="E379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F49D9-FE22-444A-AD79-3DA353ED3ADA}">
  <sheetPr codeName="Sheet6"/>
  <dimension ref="A1:M27"/>
  <sheetViews>
    <sheetView workbookViewId="0">
      <selection activeCell="G22" sqref="G22"/>
    </sheetView>
  </sheetViews>
  <sheetFormatPr defaultRowHeight="15" x14ac:dyDescent="0.25"/>
  <cols>
    <col min="2" max="2" width="41.42578125" customWidth="1"/>
    <col min="3" max="3" width="32.7109375" customWidth="1"/>
    <col min="5" max="5" width="16.7109375" customWidth="1"/>
    <col min="6" max="6" width="19.5703125" bestFit="1" customWidth="1"/>
    <col min="8" max="8" width="13.28515625" bestFit="1" customWidth="1"/>
    <col min="9" max="9" width="39.7109375" bestFit="1" customWidth="1"/>
    <col min="10" max="10" width="29.85546875" bestFit="1" customWidth="1"/>
    <col min="11" max="11" width="17.42578125" bestFit="1" customWidth="1"/>
    <col min="12" max="13" width="13.28515625" bestFit="1" customWidth="1"/>
  </cols>
  <sheetData>
    <row r="1" spans="1:13" x14ac:dyDescent="0.25">
      <c r="A1" s="29">
        <v>0</v>
      </c>
      <c r="B1" s="28" t="s">
        <v>65</v>
      </c>
      <c r="C1" s="29" t="s">
        <v>64</v>
      </c>
      <c r="D1" s="29">
        <v>84107</v>
      </c>
      <c r="E1" s="29">
        <v>0</v>
      </c>
      <c r="F1" s="29">
        <v>0</v>
      </c>
      <c r="H1" t="str">
        <f>"'AddressId':'" &amp; A1 &amp;"'"</f>
        <v>'AddressId':'0'</v>
      </c>
      <c r="I1" t="str">
        <f t="shared" ref="I1:M1" si="0">"'AddressId':'" &amp; B1 &amp;"'"</f>
        <v>'AddressId':'Western Governors University'</v>
      </c>
      <c r="J1" t="str">
        <f t="shared" si="0"/>
        <v>'AddressId':'4001 South 700 East'</v>
      </c>
      <c r="K1" t="str">
        <f t="shared" si="0"/>
        <v>'AddressId':'84107'</v>
      </c>
      <c r="L1" t="str">
        <f t="shared" si="0"/>
        <v>'AddressId':'0'</v>
      </c>
      <c r="M1" t="str">
        <f t="shared" si="0"/>
        <v>'AddressId':'0'</v>
      </c>
    </row>
    <row r="2" spans="1:13" x14ac:dyDescent="0.25">
      <c r="A2" s="29">
        <v>1</v>
      </c>
      <c r="B2" s="28" t="s">
        <v>92</v>
      </c>
      <c r="C2" s="28" t="s">
        <v>66</v>
      </c>
      <c r="D2" s="29">
        <v>84104</v>
      </c>
      <c r="E2" s="29">
        <v>7.2</v>
      </c>
      <c r="F2" s="29">
        <f>(E2/18)*60</f>
        <v>24</v>
      </c>
    </row>
    <row r="3" spans="1:13" x14ac:dyDescent="0.25">
      <c r="A3" s="29">
        <v>2</v>
      </c>
      <c r="B3" s="28" t="s">
        <v>93</v>
      </c>
      <c r="C3" s="28" t="s">
        <v>67</v>
      </c>
      <c r="D3" s="29">
        <v>84106</v>
      </c>
      <c r="E3" s="29">
        <v>3.8</v>
      </c>
      <c r="F3" s="29">
        <f t="shared" ref="F3:F27" si="1">(E3/18)*60</f>
        <v>12.666666666666666</v>
      </c>
    </row>
    <row r="4" spans="1:13" x14ac:dyDescent="0.25">
      <c r="A4" s="29">
        <v>3</v>
      </c>
      <c r="B4" s="28" t="s">
        <v>94</v>
      </c>
      <c r="C4" s="28" t="s">
        <v>68</v>
      </c>
      <c r="D4" s="29">
        <v>84123</v>
      </c>
      <c r="E4" s="29">
        <v>11</v>
      </c>
      <c r="F4" s="29">
        <f t="shared" si="1"/>
        <v>36.666666666666671</v>
      </c>
    </row>
    <row r="5" spans="1:13" x14ac:dyDescent="0.25">
      <c r="A5" s="29">
        <v>4</v>
      </c>
      <c r="B5" s="28" t="s">
        <v>95</v>
      </c>
      <c r="C5" s="28" t="s">
        <v>69</v>
      </c>
      <c r="D5" s="29">
        <v>84115</v>
      </c>
      <c r="E5" s="29">
        <v>2.2000000000000002</v>
      </c>
      <c r="F5" s="29">
        <f t="shared" si="1"/>
        <v>7.3333333333333339</v>
      </c>
    </row>
    <row r="6" spans="1:13" x14ac:dyDescent="0.25">
      <c r="A6" s="29">
        <v>5</v>
      </c>
      <c r="B6" s="28" t="s">
        <v>96</v>
      </c>
      <c r="C6" s="28" t="s">
        <v>70</v>
      </c>
      <c r="D6" s="29">
        <v>84115</v>
      </c>
      <c r="E6" s="29">
        <v>3.5</v>
      </c>
      <c r="F6" s="29">
        <f t="shared" si="1"/>
        <v>11.666666666666666</v>
      </c>
    </row>
    <row r="7" spans="1:13" x14ac:dyDescent="0.25">
      <c r="A7" s="29">
        <v>6</v>
      </c>
      <c r="B7" s="28" t="s">
        <v>97</v>
      </c>
      <c r="C7" s="28" t="s">
        <v>71</v>
      </c>
      <c r="D7" s="29">
        <v>84104</v>
      </c>
      <c r="E7" s="29">
        <v>10.9</v>
      </c>
      <c r="F7" s="29">
        <f t="shared" si="1"/>
        <v>36.333333333333336</v>
      </c>
    </row>
    <row r="8" spans="1:13" x14ac:dyDescent="0.25">
      <c r="A8" s="29">
        <v>7</v>
      </c>
      <c r="B8" s="28" t="s">
        <v>98</v>
      </c>
      <c r="C8" s="28" t="s">
        <v>72</v>
      </c>
      <c r="D8" s="29">
        <v>84119</v>
      </c>
      <c r="E8" s="29">
        <v>8.6</v>
      </c>
      <c r="F8" s="29">
        <f t="shared" si="1"/>
        <v>28.666666666666664</v>
      </c>
    </row>
    <row r="9" spans="1:13" x14ac:dyDescent="0.25">
      <c r="A9" s="29">
        <v>8</v>
      </c>
      <c r="B9" s="28" t="s">
        <v>99</v>
      </c>
      <c r="C9" s="28" t="s">
        <v>73</v>
      </c>
      <c r="D9" s="29">
        <v>84103</v>
      </c>
      <c r="E9" s="29">
        <v>7.6</v>
      </c>
      <c r="F9" s="29">
        <f t="shared" si="1"/>
        <v>25.333333333333332</v>
      </c>
    </row>
    <row r="10" spans="1:13" x14ac:dyDescent="0.25">
      <c r="A10" s="29">
        <v>9</v>
      </c>
      <c r="B10" s="28" t="s">
        <v>117</v>
      </c>
      <c r="C10" s="28" t="s">
        <v>74</v>
      </c>
      <c r="D10" s="29">
        <v>84106</v>
      </c>
      <c r="E10" s="29">
        <v>2.8</v>
      </c>
      <c r="F10" s="29">
        <f t="shared" si="1"/>
        <v>9.3333333333333339</v>
      </c>
    </row>
    <row r="11" spans="1:13" x14ac:dyDescent="0.25">
      <c r="A11" s="29">
        <v>10</v>
      </c>
      <c r="B11" s="28" t="s">
        <v>116</v>
      </c>
      <c r="C11" s="28" t="s">
        <v>75</v>
      </c>
      <c r="D11" s="29">
        <v>84118</v>
      </c>
      <c r="E11" s="29">
        <v>6.4</v>
      </c>
      <c r="F11" s="29">
        <f t="shared" si="1"/>
        <v>21.333333333333336</v>
      </c>
    </row>
    <row r="12" spans="1:13" x14ac:dyDescent="0.25">
      <c r="A12" s="29">
        <v>11</v>
      </c>
      <c r="B12" s="28" t="s">
        <v>115</v>
      </c>
      <c r="C12" s="28" t="s">
        <v>76</v>
      </c>
      <c r="D12" s="29">
        <v>84115</v>
      </c>
      <c r="E12" s="29">
        <v>3.2</v>
      </c>
      <c r="F12" s="29">
        <f t="shared" si="1"/>
        <v>10.666666666666668</v>
      </c>
    </row>
    <row r="13" spans="1:13" x14ac:dyDescent="0.25">
      <c r="A13" s="29">
        <v>12</v>
      </c>
      <c r="B13" s="28" t="s">
        <v>114</v>
      </c>
      <c r="C13" s="28" t="s">
        <v>77</v>
      </c>
      <c r="D13" s="29">
        <v>84103</v>
      </c>
      <c r="E13" s="29">
        <v>7.6</v>
      </c>
      <c r="F13" s="29">
        <f t="shared" si="1"/>
        <v>25.333333333333332</v>
      </c>
    </row>
    <row r="14" spans="1:13" x14ac:dyDescent="0.25">
      <c r="A14" s="29">
        <v>13</v>
      </c>
      <c r="B14" s="28" t="s">
        <v>113</v>
      </c>
      <c r="C14" s="28" t="s">
        <v>78</v>
      </c>
      <c r="D14" s="29">
        <v>84119</v>
      </c>
      <c r="E14" s="29">
        <v>5.2</v>
      </c>
      <c r="F14" s="29">
        <f t="shared" si="1"/>
        <v>17.333333333333336</v>
      </c>
    </row>
    <row r="15" spans="1:13" x14ac:dyDescent="0.25">
      <c r="A15" s="29">
        <v>14</v>
      </c>
      <c r="B15" s="28" t="s">
        <v>112</v>
      </c>
      <c r="C15" s="28" t="s">
        <v>79</v>
      </c>
      <c r="D15" s="29">
        <v>84119</v>
      </c>
      <c r="E15" s="29">
        <v>4.4000000000000004</v>
      </c>
      <c r="F15" s="29">
        <f t="shared" si="1"/>
        <v>14.666666666666668</v>
      </c>
    </row>
    <row r="16" spans="1:13" x14ac:dyDescent="0.25">
      <c r="A16" s="29">
        <v>15</v>
      </c>
      <c r="B16" s="28" t="s">
        <v>111</v>
      </c>
      <c r="C16" s="28" t="s">
        <v>80</v>
      </c>
      <c r="D16" s="29">
        <v>84119</v>
      </c>
      <c r="E16" s="29">
        <v>3.66112816434</v>
      </c>
      <c r="F16" s="29">
        <f t="shared" si="1"/>
        <v>12.2037605478</v>
      </c>
    </row>
    <row r="17" spans="1:6" x14ac:dyDescent="0.25">
      <c r="A17" s="29">
        <v>16</v>
      </c>
      <c r="B17" s="28" t="s">
        <v>110</v>
      </c>
      <c r="C17" s="28" t="s">
        <v>81</v>
      </c>
      <c r="D17" s="29">
        <v>84119</v>
      </c>
      <c r="E17" s="29">
        <v>7.6</v>
      </c>
      <c r="F17" s="29">
        <f t="shared" si="1"/>
        <v>25.333333333333332</v>
      </c>
    </row>
    <row r="18" spans="1:6" x14ac:dyDescent="0.25">
      <c r="A18" s="29">
        <v>17</v>
      </c>
      <c r="B18" s="28" t="s">
        <v>109</v>
      </c>
      <c r="C18" s="28" t="s">
        <v>82</v>
      </c>
      <c r="D18" s="29">
        <v>84115</v>
      </c>
      <c r="E18" s="29">
        <v>2</v>
      </c>
      <c r="F18" s="29">
        <f t="shared" si="1"/>
        <v>6.6666666666666661</v>
      </c>
    </row>
    <row r="19" spans="1:6" x14ac:dyDescent="0.25">
      <c r="A19" s="29">
        <v>18</v>
      </c>
      <c r="B19" s="28" t="s">
        <v>108</v>
      </c>
      <c r="C19" s="28" t="s">
        <v>83</v>
      </c>
      <c r="D19" s="29">
        <v>84115</v>
      </c>
      <c r="E19" s="29">
        <v>3.6</v>
      </c>
      <c r="F19" s="29">
        <f t="shared" si="1"/>
        <v>12</v>
      </c>
    </row>
    <row r="20" spans="1:6" x14ac:dyDescent="0.25">
      <c r="A20" s="29">
        <v>19</v>
      </c>
      <c r="B20" s="28" t="s">
        <v>107</v>
      </c>
      <c r="C20" s="28" t="s">
        <v>84</v>
      </c>
      <c r="D20" s="29">
        <v>84111</v>
      </c>
      <c r="E20" s="29">
        <v>6.5</v>
      </c>
      <c r="F20" s="29">
        <f t="shared" si="1"/>
        <v>21.666666666666668</v>
      </c>
    </row>
    <row r="21" spans="1:6" x14ac:dyDescent="0.25">
      <c r="A21" s="29">
        <v>20</v>
      </c>
      <c r="B21" s="28" t="s">
        <v>106</v>
      </c>
      <c r="C21" s="28" t="s">
        <v>85</v>
      </c>
      <c r="D21" s="29">
        <v>84117</v>
      </c>
      <c r="E21" s="29">
        <v>1.9</v>
      </c>
      <c r="F21" s="29">
        <f t="shared" si="1"/>
        <v>6.333333333333333</v>
      </c>
    </row>
    <row r="22" spans="1:6" x14ac:dyDescent="0.25">
      <c r="A22" s="29">
        <v>21</v>
      </c>
      <c r="B22" s="28" t="s">
        <v>105</v>
      </c>
      <c r="C22" s="28" t="s">
        <v>86</v>
      </c>
      <c r="D22" s="29">
        <v>84117</v>
      </c>
      <c r="E22" s="29">
        <v>3.4</v>
      </c>
      <c r="F22" s="29">
        <f t="shared" si="1"/>
        <v>11.333333333333332</v>
      </c>
    </row>
    <row r="23" spans="1:6" x14ac:dyDescent="0.25">
      <c r="A23" s="29">
        <v>22</v>
      </c>
      <c r="B23" s="28" t="s">
        <v>104</v>
      </c>
      <c r="C23" s="28" t="s">
        <v>87</v>
      </c>
      <c r="D23" s="29">
        <v>84107</v>
      </c>
      <c r="E23" s="29">
        <v>2.4</v>
      </c>
      <c r="F23" s="29">
        <f t="shared" si="1"/>
        <v>8</v>
      </c>
    </row>
    <row r="24" spans="1:6" x14ac:dyDescent="0.25">
      <c r="A24" s="29">
        <v>23</v>
      </c>
      <c r="B24" s="28" t="s">
        <v>103</v>
      </c>
      <c r="C24" s="28" t="s">
        <v>88</v>
      </c>
      <c r="D24" s="29">
        <v>84118</v>
      </c>
      <c r="E24" s="29">
        <v>6.4</v>
      </c>
      <c r="F24" s="29">
        <f t="shared" si="1"/>
        <v>21.333333333333336</v>
      </c>
    </row>
    <row r="25" spans="1:6" x14ac:dyDescent="0.25">
      <c r="A25" s="29">
        <v>24</v>
      </c>
      <c r="B25" s="28" t="s">
        <v>102</v>
      </c>
      <c r="C25" s="28" t="s">
        <v>89</v>
      </c>
      <c r="D25" s="29">
        <v>84117</v>
      </c>
      <c r="E25" s="29">
        <v>2.4</v>
      </c>
      <c r="F25" s="29">
        <f t="shared" si="1"/>
        <v>8</v>
      </c>
    </row>
    <row r="26" spans="1:6" x14ac:dyDescent="0.25">
      <c r="A26" s="29">
        <v>25</v>
      </c>
      <c r="B26" s="28" t="s">
        <v>101</v>
      </c>
      <c r="C26" s="28" t="s">
        <v>90</v>
      </c>
      <c r="D26" s="29">
        <v>84105</v>
      </c>
      <c r="E26" s="29">
        <v>5</v>
      </c>
      <c r="F26" s="29">
        <f t="shared" si="1"/>
        <v>16.666666666666668</v>
      </c>
    </row>
    <row r="27" spans="1:6" x14ac:dyDescent="0.25">
      <c r="A27" s="29">
        <v>26</v>
      </c>
      <c r="B27" s="28" t="s">
        <v>100</v>
      </c>
      <c r="C27" s="28" t="s">
        <v>91</v>
      </c>
      <c r="D27" s="29">
        <v>84121</v>
      </c>
      <c r="E27" s="29">
        <v>3.6</v>
      </c>
      <c r="F27" s="29">
        <f t="shared" si="1"/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FC60-C991-4AA0-AAFF-392570B301DF}">
  <sheetPr codeName="Sheet7"/>
  <dimension ref="A1:G378"/>
  <sheetViews>
    <sheetView tabSelected="1" workbookViewId="0">
      <selection activeCell="B2" sqref="A2:B2"/>
    </sheetView>
  </sheetViews>
  <sheetFormatPr defaultRowHeight="15" x14ac:dyDescent="0.25"/>
  <cols>
    <col min="1" max="1" width="12.5703125" style="27" customWidth="1"/>
    <col min="2" max="2" width="23.5703125" style="27" customWidth="1"/>
    <col min="3" max="3" width="14.5703125" customWidth="1"/>
  </cols>
  <sheetData>
    <row r="1" spans="1:7" x14ac:dyDescent="0.25">
      <c r="A1" s="27">
        <v>0</v>
      </c>
      <c r="B1" s="27">
        <v>0</v>
      </c>
      <c r="C1">
        <v>0</v>
      </c>
      <c r="D1">
        <f>A1*26+B1</f>
        <v>0</v>
      </c>
      <c r="F1">
        <f>QUOTIENT(D1,26)</f>
        <v>0</v>
      </c>
      <c r="G1">
        <f>MOD(D1,26)</f>
        <v>0</v>
      </c>
    </row>
    <row r="2" spans="1:7" x14ac:dyDescent="0.25">
      <c r="A2" s="27">
        <v>0</v>
      </c>
      <c r="B2" s="27">
        <v>1</v>
      </c>
      <c r="C2">
        <v>7.2</v>
      </c>
      <c r="D2">
        <f t="shared" ref="D2:D65" si="0">A2*26+B2</f>
        <v>1</v>
      </c>
      <c r="F2">
        <f t="shared" ref="F2:F65" si="1">QUOTIENT(D2,26)</f>
        <v>0</v>
      </c>
      <c r="G2">
        <f t="shared" ref="G2:G65" si="2">MOD(D2,26)</f>
        <v>1</v>
      </c>
    </row>
    <row r="3" spans="1:7" x14ac:dyDescent="0.25">
      <c r="A3" s="27">
        <v>0</v>
      </c>
      <c r="B3" s="27">
        <v>2</v>
      </c>
      <c r="C3">
        <v>3.8</v>
      </c>
      <c r="D3">
        <f t="shared" si="0"/>
        <v>2</v>
      </c>
      <c r="F3">
        <f t="shared" si="1"/>
        <v>0</v>
      </c>
      <c r="G3">
        <f t="shared" si="2"/>
        <v>2</v>
      </c>
    </row>
    <row r="4" spans="1:7" x14ac:dyDescent="0.25">
      <c r="A4" s="27">
        <v>0</v>
      </c>
      <c r="B4" s="27">
        <v>3</v>
      </c>
      <c r="C4">
        <v>11</v>
      </c>
      <c r="D4">
        <f t="shared" si="0"/>
        <v>3</v>
      </c>
      <c r="F4">
        <f t="shared" si="1"/>
        <v>0</v>
      </c>
      <c r="G4">
        <f t="shared" si="2"/>
        <v>3</v>
      </c>
    </row>
    <row r="5" spans="1:7" x14ac:dyDescent="0.25">
      <c r="A5" s="27">
        <v>0</v>
      </c>
      <c r="B5" s="27">
        <v>4</v>
      </c>
      <c r="C5">
        <v>2.2000000000000002</v>
      </c>
      <c r="D5">
        <f t="shared" si="0"/>
        <v>4</v>
      </c>
      <c r="F5">
        <f t="shared" si="1"/>
        <v>0</v>
      </c>
      <c r="G5">
        <f t="shared" si="2"/>
        <v>4</v>
      </c>
    </row>
    <row r="6" spans="1:7" x14ac:dyDescent="0.25">
      <c r="A6" s="27">
        <v>0</v>
      </c>
      <c r="B6" s="27">
        <v>5</v>
      </c>
      <c r="C6">
        <v>3.5</v>
      </c>
      <c r="D6">
        <f t="shared" si="0"/>
        <v>5</v>
      </c>
      <c r="F6">
        <f t="shared" si="1"/>
        <v>0</v>
      </c>
      <c r="G6">
        <f t="shared" si="2"/>
        <v>5</v>
      </c>
    </row>
    <row r="7" spans="1:7" x14ac:dyDescent="0.25">
      <c r="A7" s="27">
        <v>0</v>
      </c>
      <c r="B7" s="27">
        <v>6</v>
      </c>
      <c r="C7">
        <v>10.9</v>
      </c>
      <c r="D7">
        <f t="shared" si="0"/>
        <v>6</v>
      </c>
      <c r="F7">
        <f t="shared" si="1"/>
        <v>0</v>
      </c>
      <c r="G7">
        <f t="shared" si="2"/>
        <v>6</v>
      </c>
    </row>
    <row r="8" spans="1:7" x14ac:dyDescent="0.25">
      <c r="A8" s="27">
        <v>0</v>
      </c>
      <c r="B8" s="27">
        <v>7</v>
      </c>
      <c r="C8">
        <v>8.6</v>
      </c>
      <c r="D8">
        <f t="shared" si="0"/>
        <v>7</v>
      </c>
      <c r="F8">
        <f t="shared" si="1"/>
        <v>0</v>
      </c>
      <c r="G8">
        <f t="shared" si="2"/>
        <v>7</v>
      </c>
    </row>
    <row r="9" spans="1:7" x14ac:dyDescent="0.25">
      <c r="A9" s="27">
        <v>0</v>
      </c>
      <c r="B9" s="27">
        <v>8</v>
      </c>
      <c r="C9">
        <v>7.6</v>
      </c>
      <c r="D9">
        <f t="shared" si="0"/>
        <v>8</v>
      </c>
      <c r="F9">
        <f t="shared" si="1"/>
        <v>0</v>
      </c>
      <c r="G9">
        <f t="shared" si="2"/>
        <v>8</v>
      </c>
    </row>
    <row r="10" spans="1:7" x14ac:dyDescent="0.25">
      <c r="A10" s="27">
        <v>0</v>
      </c>
      <c r="B10" s="27">
        <v>9</v>
      </c>
      <c r="C10">
        <v>2.8</v>
      </c>
      <c r="D10">
        <f t="shared" si="0"/>
        <v>9</v>
      </c>
      <c r="F10">
        <f t="shared" si="1"/>
        <v>0</v>
      </c>
      <c r="G10">
        <f t="shared" si="2"/>
        <v>9</v>
      </c>
    </row>
    <row r="11" spans="1:7" x14ac:dyDescent="0.25">
      <c r="A11" s="27">
        <v>0</v>
      </c>
      <c r="B11" s="27">
        <v>10</v>
      </c>
      <c r="C11">
        <v>6.4</v>
      </c>
      <c r="D11">
        <f t="shared" si="0"/>
        <v>10</v>
      </c>
      <c r="F11">
        <f t="shared" si="1"/>
        <v>0</v>
      </c>
      <c r="G11">
        <f t="shared" si="2"/>
        <v>10</v>
      </c>
    </row>
    <row r="12" spans="1:7" x14ac:dyDescent="0.25">
      <c r="A12" s="27">
        <v>0</v>
      </c>
      <c r="B12" s="27">
        <v>11</v>
      </c>
      <c r="C12">
        <v>3.2</v>
      </c>
      <c r="D12">
        <f t="shared" si="0"/>
        <v>11</v>
      </c>
      <c r="F12">
        <f t="shared" si="1"/>
        <v>0</v>
      </c>
      <c r="G12">
        <f t="shared" si="2"/>
        <v>11</v>
      </c>
    </row>
    <row r="13" spans="1:7" x14ac:dyDescent="0.25">
      <c r="A13" s="27">
        <v>0</v>
      </c>
      <c r="B13" s="27">
        <v>12</v>
      </c>
      <c r="C13">
        <v>7.6</v>
      </c>
      <c r="D13">
        <f t="shared" si="0"/>
        <v>12</v>
      </c>
      <c r="F13">
        <f t="shared" si="1"/>
        <v>0</v>
      </c>
      <c r="G13">
        <f t="shared" si="2"/>
        <v>12</v>
      </c>
    </row>
    <row r="14" spans="1:7" x14ac:dyDescent="0.25">
      <c r="A14" s="27">
        <v>0</v>
      </c>
      <c r="B14" s="27">
        <v>13</v>
      </c>
      <c r="C14">
        <v>5.2</v>
      </c>
      <c r="D14">
        <f t="shared" si="0"/>
        <v>13</v>
      </c>
      <c r="F14">
        <f t="shared" si="1"/>
        <v>0</v>
      </c>
      <c r="G14">
        <f t="shared" si="2"/>
        <v>13</v>
      </c>
    </row>
    <row r="15" spans="1:7" x14ac:dyDescent="0.25">
      <c r="A15" s="27">
        <v>0</v>
      </c>
      <c r="B15" s="27">
        <v>14</v>
      </c>
      <c r="C15">
        <v>4.4000000000000004</v>
      </c>
      <c r="D15">
        <f t="shared" si="0"/>
        <v>14</v>
      </c>
      <c r="F15">
        <f t="shared" si="1"/>
        <v>0</v>
      </c>
      <c r="G15">
        <f t="shared" si="2"/>
        <v>14</v>
      </c>
    </row>
    <row r="16" spans="1:7" x14ac:dyDescent="0.25">
      <c r="A16" s="27">
        <v>0</v>
      </c>
      <c r="B16" s="27">
        <v>15</v>
      </c>
      <c r="C16">
        <v>3.66112816434</v>
      </c>
      <c r="D16">
        <f t="shared" si="0"/>
        <v>15</v>
      </c>
      <c r="F16">
        <f t="shared" si="1"/>
        <v>0</v>
      </c>
      <c r="G16">
        <f t="shared" si="2"/>
        <v>15</v>
      </c>
    </row>
    <row r="17" spans="1:7" x14ac:dyDescent="0.25">
      <c r="A17" s="27">
        <v>0</v>
      </c>
      <c r="B17" s="27">
        <v>16</v>
      </c>
      <c r="C17">
        <v>7.6</v>
      </c>
      <c r="D17">
        <f t="shared" si="0"/>
        <v>16</v>
      </c>
      <c r="F17">
        <f t="shared" si="1"/>
        <v>0</v>
      </c>
      <c r="G17">
        <f t="shared" si="2"/>
        <v>16</v>
      </c>
    </row>
    <row r="18" spans="1:7" x14ac:dyDescent="0.25">
      <c r="A18" s="27">
        <v>0</v>
      </c>
      <c r="B18" s="27">
        <v>17</v>
      </c>
      <c r="C18">
        <v>2</v>
      </c>
      <c r="D18">
        <f t="shared" si="0"/>
        <v>17</v>
      </c>
      <c r="F18">
        <f t="shared" si="1"/>
        <v>0</v>
      </c>
      <c r="G18">
        <f t="shared" si="2"/>
        <v>17</v>
      </c>
    </row>
    <row r="19" spans="1:7" x14ac:dyDescent="0.25">
      <c r="A19" s="27">
        <v>0</v>
      </c>
      <c r="B19" s="27">
        <v>18</v>
      </c>
      <c r="C19">
        <v>3.6</v>
      </c>
      <c r="D19">
        <f t="shared" si="0"/>
        <v>18</v>
      </c>
      <c r="F19">
        <f t="shared" si="1"/>
        <v>0</v>
      </c>
      <c r="G19">
        <f t="shared" si="2"/>
        <v>18</v>
      </c>
    </row>
    <row r="20" spans="1:7" x14ac:dyDescent="0.25">
      <c r="A20" s="27">
        <v>0</v>
      </c>
      <c r="B20" s="27">
        <v>19</v>
      </c>
      <c r="C20">
        <v>6.5</v>
      </c>
      <c r="D20">
        <f t="shared" si="0"/>
        <v>19</v>
      </c>
      <c r="F20">
        <f t="shared" si="1"/>
        <v>0</v>
      </c>
      <c r="G20">
        <f t="shared" si="2"/>
        <v>19</v>
      </c>
    </row>
    <row r="21" spans="1:7" x14ac:dyDescent="0.25">
      <c r="A21" s="27">
        <v>0</v>
      </c>
      <c r="B21" s="27">
        <v>20</v>
      </c>
      <c r="C21">
        <v>1.9</v>
      </c>
      <c r="D21">
        <f t="shared" si="0"/>
        <v>20</v>
      </c>
      <c r="F21">
        <f t="shared" si="1"/>
        <v>0</v>
      </c>
      <c r="G21">
        <f t="shared" si="2"/>
        <v>20</v>
      </c>
    </row>
    <row r="22" spans="1:7" x14ac:dyDescent="0.25">
      <c r="A22" s="27">
        <v>0</v>
      </c>
      <c r="B22" s="27">
        <v>21</v>
      </c>
      <c r="C22">
        <v>3.4</v>
      </c>
      <c r="D22">
        <f t="shared" si="0"/>
        <v>21</v>
      </c>
      <c r="F22">
        <f t="shared" si="1"/>
        <v>0</v>
      </c>
      <c r="G22">
        <f t="shared" si="2"/>
        <v>21</v>
      </c>
    </row>
    <row r="23" spans="1:7" x14ac:dyDescent="0.25">
      <c r="A23" s="27">
        <v>0</v>
      </c>
      <c r="B23" s="27">
        <v>22</v>
      </c>
      <c r="C23">
        <v>2.4</v>
      </c>
      <c r="D23">
        <f t="shared" si="0"/>
        <v>22</v>
      </c>
      <c r="F23">
        <f t="shared" si="1"/>
        <v>0</v>
      </c>
      <c r="G23">
        <f t="shared" si="2"/>
        <v>22</v>
      </c>
    </row>
    <row r="24" spans="1:7" x14ac:dyDescent="0.25">
      <c r="A24" s="27">
        <v>0</v>
      </c>
      <c r="B24" s="27">
        <v>23</v>
      </c>
      <c r="C24">
        <v>6.4</v>
      </c>
      <c r="D24">
        <f t="shared" si="0"/>
        <v>23</v>
      </c>
      <c r="F24">
        <f t="shared" si="1"/>
        <v>0</v>
      </c>
      <c r="G24">
        <f t="shared" si="2"/>
        <v>23</v>
      </c>
    </row>
    <row r="25" spans="1:7" x14ac:dyDescent="0.25">
      <c r="A25" s="27">
        <v>0</v>
      </c>
      <c r="B25" s="27">
        <v>24</v>
      </c>
      <c r="C25">
        <v>2.4</v>
      </c>
      <c r="D25">
        <f t="shared" si="0"/>
        <v>24</v>
      </c>
      <c r="F25">
        <f t="shared" si="1"/>
        <v>0</v>
      </c>
      <c r="G25">
        <f t="shared" si="2"/>
        <v>24</v>
      </c>
    </row>
    <row r="26" spans="1:7" x14ac:dyDescent="0.25">
      <c r="A26" s="27">
        <v>0</v>
      </c>
      <c r="B26" s="27">
        <v>25</v>
      </c>
      <c r="C26">
        <v>5</v>
      </c>
      <c r="D26">
        <f t="shared" si="0"/>
        <v>25</v>
      </c>
      <c r="F26">
        <f t="shared" si="1"/>
        <v>0</v>
      </c>
      <c r="G26">
        <f t="shared" si="2"/>
        <v>25</v>
      </c>
    </row>
    <row r="27" spans="1:7" x14ac:dyDescent="0.25">
      <c r="A27" s="27">
        <v>0</v>
      </c>
      <c r="B27" s="27">
        <v>26</v>
      </c>
      <c r="C27">
        <v>3.6</v>
      </c>
      <c r="D27">
        <f t="shared" si="0"/>
        <v>26</v>
      </c>
      <c r="F27">
        <f t="shared" si="1"/>
        <v>1</v>
      </c>
      <c r="G27">
        <f t="shared" si="2"/>
        <v>0</v>
      </c>
    </row>
    <row r="28" spans="1:7" x14ac:dyDescent="0.25">
      <c r="A28" s="27">
        <v>1</v>
      </c>
      <c r="B28" s="27">
        <v>1</v>
      </c>
      <c r="C28">
        <v>0</v>
      </c>
      <c r="D28">
        <f t="shared" si="0"/>
        <v>27</v>
      </c>
      <c r="F28">
        <f t="shared" si="1"/>
        <v>1</v>
      </c>
      <c r="G28">
        <f t="shared" si="2"/>
        <v>1</v>
      </c>
    </row>
    <row r="29" spans="1:7" x14ac:dyDescent="0.25">
      <c r="A29" s="27">
        <v>1</v>
      </c>
      <c r="B29" s="27">
        <v>2</v>
      </c>
      <c r="C29">
        <v>7.1</v>
      </c>
      <c r="D29">
        <f t="shared" si="0"/>
        <v>28</v>
      </c>
      <c r="F29">
        <f t="shared" si="1"/>
        <v>1</v>
      </c>
      <c r="G29">
        <f t="shared" si="2"/>
        <v>2</v>
      </c>
    </row>
    <row r="30" spans="1:7" x14ac:dyDescent="0.25">
      <c r="A30" s="27">
        <v>1</v>
      </c>
      <c r="B30" s="27">
        <v>3</v>
      </c>
      <c r="C30">
        <v>6.4</v>
      </c>
      <c r="D30">
        <f t="shared" si="0"/>
        <v>29</v>
      </c>
      <c r="F30">
        <f t="shared" si="1"/>
        <v>1</v>
      </c>
      <c r="G30">
        <f t="shared" si="2"/>
        <v>3</v>
      </c>
    </row>
    <row r="31" spans="1:7" x14ac:dyDescent="0.25">
      <c r="A31" s="27">
        <v>1</v>
      </c>
      <c r="B31" s="27">
        <v>4</v>
      </c>
      <c r="C31">
        <v>6</v>
      </c>
      <c r="D31">
        <f t="shared" si="0"/>
        <v>30</v>
      </c>
      <c r="F31">
        <f t="shared" si="1"/>
        <v>1</v>
      </c>
      <c r="G31">
        <f t="shared" si="2"/>
        <v>4</v>
      </c>
    </row>
    <row r="32" spans="1:7" x14ac:dyDescent="0.25">
      <c r="A32" s="27">
        <v>1</v>
      </c>
      <c r="B32" s="27">
        <v>5</v>
      </c>
      <c r="C32">
        <v>4.8</v>
      </c>
      <c r="D32">
        <f t="shared" si="0"/>
        <v>31</v>
      </c>
      <c r="F32">
        <f t="shared" si="1"/>
        <v>1</v>
      </c>
      <c r="G32">
        <f t="shared" si="2"/>
        <v>5</v>
      </c>
    </row>
    <row r="33" spans="1:7" x14ac:dyDescent="0.25">
      <c r="A33" s="27">
        <v>1</v>
      </c>
      <c r="B33" s="27">
        <v>6</v>
      </c>
      <c r="C33">
        <v>1.6</v>
      </c>
      <c r="D33">
        <f t="shared" si="0"/>
        <v>32</v>
      </c>
      <c r="F33">
        <f t="shared" si="1"/>
        <v>1</v>
      </c>
      <c r="G33">
        <f t="shared" si="2"/>
        <v>6</v>
      </c>
    </row>
    <row r="34" spans="1:7" x14ac:dyDescent="0.25">
      <c r="A34" s="27">
        <v>1</v>
      </c>
      <c r="B34" s="27">
        <v>7</v>
      </c>
      <c r="C34">
        <v>2.8</v>
      </c>
      <c r="D34">
        <f t="shared" si="0"/>
        <v>33</v>
      </c>
      <c r="F34">
        <f t="shared" si="1"/>
        <v>1</v>
      </c>
      <c r="G34">
        <f t="shared" si="2"/>
        <v>7</v>
      </c>
    </row>
    <row r="35" spans="1:7" x14ac:dyDescent="0.25">
      <c r="A35" s="27">
        <v>1</v>
      </c>
      <c r="B35" s="27">
        <v>8</v>
      </c>
      <c r="C35">
        <v>4.8</v>
      </c>
      <c r="D35">
        <f t="shared" si="0"/>
        <v>34</v>
      </c>
      <c r="F35">
        <f t="shared" si="1"/>
        <v>1</v>
      </c>
      <c r="G35">
        <f t="shared" si="2"/>
        <v>8</v>
      </c>
    </row>
    <row r="36" spans="1:7" x14ac:dyDescent="0.25">
      <c r="A36" s="27">
        <v>1</v>
      </c>
      <c r="B36" s="27">
        <v>9</v>
      </c>
      <c r="C36">
        <v>6.3</v>
      </c>
      <c r="D36">
        <f t="shared" si="0"/>
        <v>35</v>
      </c>
      <c r="F36">
        <f t="shared" si="1"/>
        <v>1</v>
      </c>
      <c r="G36">
        <f t="shared" si="2"/>
        <v>9</v>
      </c>
    </row>
    <row r="37" spans="1:7" x14ac:dyDescent="0.25">
      <c r="A37" s="27">
        <v>1</v>
      </c>
      <c r="B37" s="27">
        <v>10</v>
      </c>
      <c r="C37">
        <v>7.3</v>
      </c>
      <c r="D37">
        <f t="shared" si="0"/>
        <v>36</v>
      </c>
      <c r="F37">
        <f t="shared" si="1"/>
        <v>1</v>
      </c>
      <c r="G37">
        <f t="shared" si="2"/>
        <v>10</v>
      </c>
    </row>
    <row r="38" spans="1:7" x14ac:dyDescent="0.25">
      <c r="A38" s="27">
        <v>1</v>
      </c>
      <c r="B38" s="27">
        <v>11</v>
      </c>
      <c r="C38">
        <v>5.3</v>
      </c>
      <c r="D38">
        <f t="shared" si="0"/>
        <v>37</v>
      </c>
      <c r="F38">
        <f t="shared" si="1"/>
        <v>1</v>
      </c>
      <c r="G38">
        <f t="shared" si="2"/>
        <v>11</v>
      </c>
    </row>
    <row r="39" spans="1:7" x14ac:dyDescent="0.25">
      <c r="A39" s="27">
        <v>1</v>
      </c>
      <c r="B39" s="27">
        <v>12</v>
      </c>
      <c r="C39">
        <v>4.8</v>
      </c>
      <c r="D39">
        <f t="shared" si="0"/>
        <v>38</v>
      </c>
      <c r="F39">
        <f t="shared" si="1"/>
        <v>1</v>
      </c>
      <c r="G39">
        <f t="shared" si="2"/>
        <v>12</v>
      </c>
    </row>
    <row r="40" spans="1:7" x14ac:dyDescent="0.25">
      <c r="A40" s="27">
        <v>1</v>
      </c>
      <c r="B40" s="27">
        <v>13</v>
      </c>
      <c r="C40">
        <v>3</v>
      </c>
      <c r="D40">
        <f t="shared" si="0"/>
        <v>39</v>
      </c>
      <c r="F40">
        <f t="shared" si="1"/>
        <v>1</v>
      </c>
      <c r="G40">
        <f t="shared" si="2"/>
        <v>13</v>
      </c>
    </row>
    <row r="41" spans="1:7" x14ac:dyDescent="0.25">
      <c r="A41" s="27">
        <v>1</v>
      </c>
      <c r="B41" s="27">
        <v>14</v>
      </c>
      <c r="C41">
        <v>4.5999999999999996</v>
      </c>
      <c r="D41">
        <f t="shared" si="0"/>
        <v>40</v>
      </c>
      <c r="F41">
        <f t="shared" si="1"/>
        <v>1</v>
      </c>
      <c r="G41">
        <f t="shared" si="2"/>
        <v>14</v>
      </c>
    </row>
    <row r="42" spans="1:7" x14ac:dyDescent="0.25">
      <c r="A42" s="27">
        <v>1</v>
      </c>
      <c r="B42" s="27">
        <v>15</v>
      </c>
      <c r="C42">
        <v>4.5</v>
      </c>
      <c r="D42">
        <f t="shared" si="0"/>
        <v>41</v>
      </c>
      <c r="F42">
        <f t="shared" si="1"/>
        <v>1</v>
      </c>
      <c r="G42">
        <f t="shared" si="2"/>
        <v>15</v>
      </c>
    </row>
    <row r="43" spans="1:7" x14ac:dyDescent="0.25">
      <c r="A43" s="27">
        <v>1</v>
      </c>
      <c r="B43" s="27">
        <v>16</v>
      </c>
      <c r="C43">
        <v>7.4</v>
      </c>
      <c r="D43">
        <f t="shared" si="0"/>
        <v>42</v>
      </c>
      <c r="F43">
        <f t="shared" si="1"/>
        <v>1</v>
      </c>
      <c r="G43">
        <f t="shared" si="2"/>
        <v>16</v>
      </c>
    </row>
    <row r="44" spans="1:7" x14ac:dyDescent="0.25">
      <c r="A44" s="27">
        <v>1</v>
      </c>
      <c r="B44" s="27">
        <v>17</v>
      </c>
      <c r="C44">
        <v>6</v>
      </c>
      <c r="D44">
        <f t="shared" si="0"/>
        <v>43</v>
      </c>
      <c r="F44">
        <f t="shared" si="1"/>
        <v>1</v>
      </c>
      <c r="G44">
        <f t="shared" si="2"/>
        <v>17</v>
      </c>
    </row>
    <row r="45" spans="1:7" x14ac:dyDescent="0.25">
      <c r="A45" s="27">
        <v>1</v>
      </c>
      <c r="B45" s="27">
        <v>18</v>
      </c>
      <c r="C45">
        <v>5</v>
      </c>
      <c r="D45">
        <f t="shared" si="0"/>
        <v>44</v>
      </c>
      <c r="F45">
        <f t="shared" si="1"/>
        <v>1</v>
      </c>
      <c r="G45">
        <f t="shared" si="2"/>
        <v>18</v>
      </c>
    </row>
    <row r="46" spans="1:7" x14ac:dyDescent="0.25">
      <c r="A46" s="27">
        <v>1</v>
      </c>
      <c r="B46" s="27">
        <v>19</v>
      </c>
      <c r="C46">
        <v>4.8</v>
      </c>
      <c r="D46">
        <f t="shared" si="0"/>
        <v>45</v>
      </c>
      <c r="F46">
        <f t="shared" si="1"/>
        <v>1</v>
      </c>
      <c r="G46">
        <f t="shared" si="2"/>
        <v>19</v>
      </c>
    </row>
    <row r="47" spans="1:7" x14ac:dyDescent="0.25">
      <c r="A47" s="27">
        <v>1</v>
      </c>
      <c r="B47" s="27">
        <v>20</v>
      </c>
      <c r="C47">
        <v>9.5</v>
      </c>
      <c r="D47">
        <f t="shared" si="0"/>
        <v>46</v>
      </c>
      <c r="F47">
        <f t="shared" si="1"/>
        <v>1</v>
      </c>
      <c r="G47">
        <f t="shared" si="2"/>
        <v>20</v>
      </c>
    </row>
    <row r="48" spans="1:7" x14ac:dyDescent="0.25">
      <c r="A48" s="27">
        <v>1</v>
      </c>
      <c r="B48" s="27">
        <v>21</v>
      </c>
      <c r="C48">
        <v>10.9</v>
      </c>
      <c r="D48">
        <f t="shared" si="0"/>
        <v>47</v>
      </c>
      <c r="F48">
        <f t="shared" si="1"/>
        <v>1</v>
      </c>
      <c r="G48">
        <f t="shared" si="2"/>
        <v>21</v>
      </c>
    </row>
    <row r="49" spans="1:7" x14ac:dyDescent="0.25">
      <c r="A49" s="27">
        <v>1</v>
      </c>
      <c r="B49" s="27">
        <v>22</v>
      </c>
      <c r="C49">
        <v>8.3000000000000007</v>
      </c>
      <c r="D49">
        <f t="shared" si="0"/>
        <v>48</v>
      </c>
      <c r="F49">
        <f t="shared" si="1"/>
        <v>1</v>
      </c>
      <c r="G49">
        <f t="shared" si="2"/>
        <v>22</v>
      </c>
    </row>
    <row r="50" spans="1:7" x14ac:dyDescent="0.25">
      <c r="A50" s="27">
        <v>1</v>
      </c>
      <c r="B50" s="27">
        <v>23</v>
      </c>
      <c r="C50">
        <v>6.9</v>
      </c>
      <c r="D50">
        <f t="shared" si="0"/>
        <v>49</v>
      </c>
      <c r="F50">
        <f t="shared" si="1"/>
        <v>1</v>
      </c>
      <c r="G50">
        <f t="shared" si="2"/>
        <v>23</v>
      </c>
    </row>
    <row r="51" spans="1:7" x14ac:dyDescent="0.25">
      <c r="A51" s="27">
        <v>1</v>
      </c>
      <c r="B51" s="27">
        <v>24</v>
      </c>
      <c r="C51">
        <v>10</v>
      </c>
      <c r="D51">
        <f t="shared" si="0"/>
        <v>50</v>
      </c>
      <c r="F51">
        <f t="shared" si="1"/>
        <v>1</v>
      </c>
      <c r="G51">
        <f t="shared" si="2"/>
        <v>24</v>
      </c>
    </row>
    <row r="52" spans="1:7" x14ac:dyDescent="0.25">
      <c r="A52" s="27">
        <v>1</v>
      </c>
      <c r="B52" s="27">
        <v>25</v>
      </c>
      <c r="C52">
        <v>4.4000000000000004</v>
      </c>
      <c r="D52">
        <f t="shared" si="0"/>
        <v>51</v>
      </c>
      <c r="F52">
        <f t="shared" si="1"/>
        <v>1</v>
      </c>
      <c r="G52">
        <f t="shared" si="2"/>
        <v>25</v>
      </c>
    </row>
    <row r="53" spans="1:7" x14ac:dyDescent="0.25">
      <c r="A53" s="27">
        <v>1</v>
      </c>
      <c r="B53" s="27">
        <v>26</v>
      </c>
      <c r="C53">
        <v>13</v>
      </c>
      <c r="D53">
        <f t="shared" si="0"/>
        <v>52</v>
      </c>
      <c r="F53">
        <f t="shared" si="1"/>
        <v>2</v>
      </c>
      <c r="G53">
        <f t="shared" si="2"/>
        <v>0</v>
      </c>
    </row>
    <row r="54" spans="1:7" x14ac:dyDescent="0.25">
      <c r="A54" s="27">
        <v>2</v>
      </c>
      <c r="B54" s="27">
        <v>2</v>
      </c>
      <c r="C54">
        <v>0</v>
      </c>
      <c r="D54">
        <f t="shared" si="0"/>
        <v>54</v>
      </c>
      <c r="F54">
        <f t="shared" si="1"/>
        <v>2</v>
      </c>
      <c r="G54">
        <f t="shared" si="2"/>
        <v>2</v>
      </c>
    </row>
    <row r="55" spans="1:7" x14ac:dyDescent="0.25">
      <c r="A55" s="27">
        <v>2</v>
      </c>
      <c r="B55" s="27">
        <v>3</v>
      </c>
      <c r="C55">
        <v>9.1999999999999993</v>
      </c>
      <c r="D55">
        <f t="shared" si="0"/>
        <v>55</v>
      </c>
      <c r="F55">
        <f t="shared" si="1"/>
        <v>2</v>
      </c>
      <c r="G55">
        <f t="shared" si="2"/>
        <v>3</v>
      </c>
    </row>
    <row r="56" spans="1:7" x14ac:dyDescent="0.25">
      <c r="A56" s="27">
        <v>2</v>
      </c>
      <c r="B56" s="27">
        <v>4</v>
      </c>
      <c r="C56">
        <v>4.4000000000000004</v>
      </c>
      <c r="D56">
        <f t="shared" si="0"/>
        <v>56</v>
      </c>
      <c r="F56">
        <f t="shared" si="1"/>
        <v>2</v>
      </c>
      <c r="G56">
        <f t="shared" si="2"/>
        <v>4</v>
      </c>
    </row>
    <row r="57" spans="1:7" x14ac:dyDescent="0.25">
      <c r="A57" s="27">
        <v>2</v>
      </c>
      <c r="B57" s="27">
        <v>5</v>
      </c>
      <c r="C57">
        <v>2.8</v>
      </c>
      <c r="D57">
        <f t="shared" si="0"/>
        <v>57</v>
      </c>
      <c r="F57">
        <f t="shared" si="1"/>
        <v>2</v>
      </c>
      <c r="G57">
        <f t="shared" si="2"/>
        <v>5</v>
      </c>
    </row>
    <row r="58" spans="1:7" x14ac:dyDescent="0.25">
      <c r="A58" s="27">
        <v>2</v>
      </c>
      <c r="B58" s="27">
        <v>6</v>
      </c>
      <c r="C58">
        <v>8.6</v>
      </c>
      <c r="D58">
        <f t="shared" si="0"/>
        <v>58</v>
      </c>
      <c r="F58">
        <f t="shared" si="1"/>
        <v>2</v>
      </c>
      <c r="G58">
        <f t="shared" si="2"/>
        <v>6</v>
      </c>
    </row>
    <row r="59" spans="1:7" x14ac:dyDescent="0.25">
      <c r="A59" s="27">
        <v>2</v>
      </c>
      <c r="B59" s="27">
        <v>7</v>
      </c>
      <c r="C59">
        <v>6.3</v>
      </c>
      <c r="D59">
        <f t="shared" si="0"/>
        <v>59</v>
      </c>
      <c r="F59">
        <f t="shared" si="1"/>
        <v>2</v>
      </c>
      <c r="G59">
        <f t="shared" si="2"/>
        <v>7</v>
      </c>
    </row>
    <row r="60" spans="1:7" x14ac:dyDescent="0.25">
      <c r="A60" s="27">
        <v>2</v>
      </c>
      <c r="B60" s="27">
        <v>8</v>
      </c>
      <c r="C60">
        <v>5.3</v>
      </c>
      <c r="D60">
        <f t="shared" si="0"/>
        <v>60</v>
      </c>
      <c r="F60">
        <f t="shared" si="1"/>
        <v>2</v>
      </c>
      <c r="G60">
        <f t="shared" si="2"/>
        <v>8</v>
      </c>
    </row>
    <row r="61" spans="1:7" x14ac:dyDescent="0.25">
      <c r="A61" s="27">
        <v>2</v>
      </c>
      <c r="B61" s="27">
        <v>9</v>
      </c>
      <c r="C61">
        <v>1.6</v>
      </c>
      <c r="D61">
        <f t="shared" si="0"/>
        <v>61</v>
      </c>
      <c r="F61">
        <f t="shared" si="1"/>
        <v>2</v>
      </c>
      <c r="G61">
        <f t="shared" si="2"/>
        <v>9</v>
      </c>
    </row>
    <row r="62" spans="1:7" x14ac:dyDescent="0.25">
      <c r="A62" s="27">
        <v>2</v>
      </c>
      <c r="B62" s="27">
        <v>10</v>
      </c>
      <c r="C62">
        <v>10.4</v>
      </c>
      <c r="D62">
        <f t="shared" si="0"/>
        <v>62</v>
      </c>
      <c r="F62">
        <f t="shared" si="1"/>
        <v>2</v>
      </c>
      <c r="G62">
        <f t="shared" si="2"/>
        <v>10</v>
      </c>
    </row>
    <row r="63" spans="1:7" x14ac:dyDescent="0.25">
      <c r="A63" s="27">
        <v>2</v>
      </c>
      <c r="B63" s="27">
        <v>11</v>
      </c>
      <c r="C63">
        <v>3</v>
      </c>
      <c r="D63">
        <f t="shared" si="0"/>
        <v>63</v>
      </c>
      <c r="F63">
        <f t="shared" si="1"/>
        <v>2</v>
      </c>
      <c r="G63">
        <f t="shared" si="2"/>
        <v>11</v>
      </c>
    </row>
    <row r="64" spans="1:7" x14ac:dyDescent="0.25">
      <c r="A64" s="27">
        <v>2</v>
      </c>
      <c r="B64" s="27">
        <v>12</v>
      </c>
      <c r="C64">
        <v>5.3</v>
      </c>
      <c r="D64">
        <f t="shared" si="0"/>
        <v>64</v>
      </c>
      <c r="F64">
        <f t="shared" si="1"/>
        <v>2</v>
      </c>
      <c r="G64">
        <f t="shared" si="2"/>
        <v>12</v>
      </c>
    </row>
    <row r="65" spans="1:7" x14ac:dyDescent="0.25">
      <c r="A65" s="27">
        <v>2</v>
      </c>
      <c r="B65" s="27">
        <v>13</v>
      </c>
      <c r="C65">
        <v>6.5</v>
      </c>
      <c r="D65">
        <f t="shared" si="0"/>
        <v>65</v>
      </c>
      <c r="F65">
        <f t="shared" si="1"/>
        <v>2</v>
      </c>
      <c r="G65">
        <f t="shared" si="2"/>
        <v>13</v>
      </c>
    </row>
    <row r="66" spans="1:7" x14ac:dyDescent="0.25">
      <c r="A66" s="27">
        <v>2</v>
      </c>
      <c r="B66" s="27">
        <v>14</v>
      </c>
      <c r="C66">
        <v>5.6</v>
      </c>
      <c r="D66">
        <f t="shared" ref="D66:D129" si="3">A66*26+B66</f>
        <v>66</v>
      </c>
      <c r="F66">
        <f t="shared" ref="F66:F129" si="4">QUOTIENT(D66,26)</f>
        <v>2</v>
      </c>
      <c r="G66">
        <f t="shared" ref="G66:G129" si="5">MOD(D66,26)</f>
        <v>14</v>
      </c>
    </row>
    <row r="67" spans="1:7" x14ac:dyDescent="0.25">
      <c r="A67" s="27">
        <v>2</v>
      </c>
      <c r="B67" s="27">
        <v>15</v>
      </c>
      <c r="C67">
        <v>5.8</v>
      </c>
      <c r="D67">
        <f t="shared" si="3"/>
        <v>67</v>
      </c>
      <c r="F67">
        <f t="shared" si="4"/>
        <v>2</v>
      </c>
      <c r="G67">
        <f t="shared" si="5"/>
        <v>15</v>
      </c>
    </row>
    <row r="68" spans="1:7" x14ac:dyDescent="0.25">
      <c r="A68" s="27">
        <v>2</v>
      </c>
      <c r="B68" s="27">
        <v>16</v>
      </c>
      <c r="C68">
        <v>5.7</v>
      </c>
      <c r="D68">
        <f t="shared" si="3"/>
        <v>68</v>
      </c>
      <c r="F68">
        <f t="shared" si="4"/>
        <v>2</v>
      </c>
      <c r="G68">
        <f t="shared" si="5"/>
        <v>16</v>
      </c>
    </row>
    <row r="69" spans="1:7" x14ac:dyDescent="0.25">
      <c r="A69" s="27">
        <v>2</v>
      </c>
      <c r="B69" s="27">
        <v>17</v>
      </c>
      <c r="C69">
        <v>4.0999999999999996</v>
      </c>
      <c r="D69">
        <f t="shared" si="3"/>
        <v>69</v>
      </c>
      <c r="F69">
        <f t="shared" si="4"/>
        <v>2</v>
      </c>
      <c r="G69">
        <f t="shared" si="5"/>
        <v>17</v>
      </c>
    </row>
    <row r="70" spans="1:7" x14ac:dyDescent="0.25">
      <c r="A70" s="27">
        <v>2</v>
      </c>
      <c r="B70" s="27">
        <v>18</v>
      </c>
      <c r="C70">
        <v>3.6</v>
      </c>
      <c r="D70">
        <f t="shared" si="3"/>
        <v>70</v>
      </c>
      <c r="F70">
        <f t="shared" si="4"/>
        <v>2</v>
      </c>
      <c r="G70">
        <f t="shared" si="5"/>
        <v>18</v>
      </c>
    </row>
    <row r="71" spans="1:7" x14ac:dyDescent="0.25">
      <c r="A71" s="27">
        <v>2</v>
      </c>
      <c r="B71" s="27">
        <v>19</v>
      </c>
      <c r="C71">
        <v>4.3</v>
      </c>
      <c r="D71">
        <f t="shared" si="3"/>
        <v>71</v>
      </c>
      <c r="F71">
        <f t="shared" si="4"/>
        <v>2</v>
      </c>
      <c r="G71">
        <f t="shared" si="5"/>
        <v>19</v>
      </c>
    </row>
    <row r="72" spans="1:7" x14ac:dyDescent="0.25">
      <c r="A72" s="27">
        <v>2</v>
      </c>
      <c r="B72" s="27">
        <v>20</v>
      </c>
      <c r="C72">
        <v>3.3</v>
      </c>
      <c r="D72">
        <f t="shared" si="3"/>
        <v>72</v>
      </c>
      <c r="F72">
        <f t="shared" si="4"/>
        <v>2</v>
      </c>
      <c r="G72">
        <f t="shared" si="5"/>
        <v>20</v>
      </c>
    </row>
    <row r="73" spans="1:7" x14ac:dyDescent="0.25">
      <c r="A73" s="27">
        <v>2</v>
      </c>
      <c r="B73" s="27">
        <v>21</v>
      </c>
      <c r="C73">
        <v>5</v>
      </c>
      <c r="D73">
        <f t="shared" si="3"/>
        <v>73</v>
      </c>
      <c r="F73">
        <f t="shared" si="4"/>
        <v>2</v>
      </c>
      <c r="G73">
        <f t="shared" si="5"/>
        <v>21</v>
      </c>
    </row>
    <row r="74" spans="1:7" x14ac:dyDescent="0.25">
      <c r="A74" s="27">
        <v>2</v>
      </c>
      <c r="B74" s="27">
        <v>22</v>
      </c>
      <c r="C74">
        <v>6.1</v>
      </c>
      <c r="D74">
        <f t="shared" si="3"/>
        <v>74</v>
      </c>
      <c r="F74">
        <f t="shared" si="4"/>
        <v>2</v>
      </c>
      <c r="G74">
        <f t="shared" si="5"/>
        <v>22</v>
      </c>
    </row>
    <row r="75" spans="1:7" x14ac:dyDescent="0.25">
      <c r="A75" s="27">
        <v>2</v>
      </c>
      <c r="B75" s="27">
        <v>23</v>
      </c>
      <c r="C75">
        <v>9.6999999999999993</v>
      </c>
      <c r="D75">
        <f t="shared" si="3"/>
        <v>75</v>
      </c>
      <c r="F75">
        <f t="shared" si="4"/>
        <v>2</v>
      </c>
      <c r="G75">
        <f t="shared" si="5"/>
        <v>23</v>
      </c>
    </row>
    <row r="76" spans="1:7" x14ac:dyDescent="0.25">
      <c r="A76" s="27">
        <v>2</v>
      </c>
      <c r="B76" s="27">
        <v>24</v>
      </c>
      <c r="C76">
        <v>6.1</v>
      </c>
      <c r="D76">
        <f t="shared" si="3"/>
        <v>76</v>
      </c>
      <c r="F76">
        <f t="shared" si="4"/>
        <v>2</v>
      </c>
      <c r="G76">
        <f t="shared" si="5"/>
        <v>24</v>
      </c>
    </row>
    <row r="77" spans="1:7" x14ac:dyDescent="0.25">
      <c r="A77" s="27">
        <v>2</v>
      </c>
      <c r="B77" s="27">
        <v>25</v>
      </c>
      <c r="C77">
        <v>2.8</v>
      </c>
      <c r="D77">
        <f t="shared" si="3"/>
        <v>77</v>
      </c>
      <c r="F77">
        <f t="shared" si="4"/>
        <v>2</v>
      </c>
      <c r="G77">
        <f t="shared" si="5"/>
        <v>25</v>
      </c>
    </row>
    <row r="78" spans="1:7" x14ac:dyDescent="0.25">
      <c r="A78" s="27">
        <v>2</v>
      </c>
      <c r="B78" s="27">
        <v>26</v>
      </c>
      <c r="C78">
        <v>7.4</v>
      </c>
      <c r="D78">
        <f t="shared" si="3"/>
        <v>78</v>
      </c>
      <c r="F78">
        <f t="shared" si="4"/>
        <v>3</v>
      </c>
      <c r="G78">
        <f t="shared" si="5"/>
        <v>0</v>
      </c>
    </row>
    <row r="79" spans="1:7" x14ac:dyDescent="0.25">
      <c r="A79" s="27">
        <v>3</v>
      </c>
      <c r="B79" s="27">
        <v>3</v>
      </c>
      <c r="C79">
        <v>0</v>
      </c>
      <c r="D79">
        <f t="shared" si="3"/>
        <v>81</v>
      </c>
      <c r="F79">
        <f t="shared" si="4"/>
        <v>3</v>
      </c>
      <c r="G79">
        <f t="shared" si="5"/>
        <v>3</v>
      </c>
    </row>
    <row r="80" spans="1:7" x14ac:dyDescent="0.25">
      <c r="A80" s="27">
        <v>3</v>
      </c>
      <c r="B80" s="27">
        <v>4</v>
      </c>
      <c r="C80">
        <v>5.6</v>
      </c>
      <c r="D80">
        <f t="shared" si="3"/>
        <v>82</v>
      </c>
      <c r="F80">
        <f t="shared" si="4"/>
        <v>3</v>
      </c>
      <c r="G80">
        <f t="shared" si="5"/>
        <v>4</v>
      </c>
    </row>
    <row r="81" spans="1:7" x14ac:dyDescent="0.25">
      <c r="A81" s="27">
        <v>3</v>
      </c>
      <c r="B81" s="27">
        <v>5</v>
      </c>
      <c r="C81">
        <v>6.9</v>
      </c>
      <c r="D81">
        <f t="shared" si="3"/>
        <v>83</v>
      </c>
      <c r="F81">
        <f t="shared" si="4"/>
        <v>3</v>
      </c>
      <c r="G81">
        <f t="shared" si="5"/>
        <v>5</v>
      </c>
    </row>
    <row r="82" spans="1:7" x14ac:dyDescent="0.25">
      <c r="A82" s="27">
        <v>3</v>
      </c>
      <c r="B82" s="27">
        <v>6</v>
      </c>
      <c r="C82">
        <v>8.6</v>
      </c>
      <c r="D82">
        <f t="shared" si="3"/>
        <v>84</v>
      </c>
      <c r="F82">
        <f t="shared" si="4"/>
        <v>3</v>
      </c>
      <c r="G82">
        <f t="shared" si="5"/>
        <v>6</v>
      </c>
    </row>
    <row r="83" spans="1:7" x14ac:dyDescent="0.25">
      <c r="A83" s="27">
        <v>3</v>
      </c>
      <c r="B83" s="27">
        <v>7</v>
      </c>
      <c r="C83">
        <v>4</v>
      </c>
      <c r="D83">
        <f t="shared" si="3"/>
        <v>85</v>
      </c>
      <c r="F83">
        <f t="shared" si="4"/>
        <v>3</v>
      </c>
      <c r="G83">
        <f t="shared" si="5"/>
        <v>7</v>
      </c>
    </row>
    <row r="84" spans="1:7" x14ac:dyDescent="0.25">
      <c r="A84" s="27">
        <v>3</v>
      </c>
      <c r="B84" s="27">
        <v>8</v>
      </c>
      <c r="C84">
        <v>11.1</v>
      </c>
      <c r="D84">
        <f t="shared" si="3"/>
        <v>86</v>
      </c>
      <c r="F84">
        <f t="shared" si="4"/>
        <v>3</v>
      </c>
      <c r="G84">
        <f t="shared" si="5"/>
        <v>8</v>
      </c>
    </row>
    <row r="85" spans="1:7" x14ac:dyDescent="0.25">
      <c r="A85" s="27">
        <v>3</v>
      </c>
      <c r="B85" s="27">
        <v>9</v>
      </c>
      <c r="C85">
        <v>7.3</v>
      </c>
      <c r="D85">
        <f t="shared" si="3"/>
        <v>87</v>
      </c>
      <c r="F85">
        <f t="shared" si="4"/>
        <v>3</v>
      </c>
      <c r="G85">
        <f t="shared" si="5"/>
        <v>9</v>
      </c>
    </row>
    <row r="86" spans="1:7" x14ac:dyDescent="0.25">
      <c r="A86" s="27">
        <v>3</v>
      </c>
      <c r="B86" s="27">
        <v>10</v>
      </c>
      <c r="C86">
        <v>1</v>
      </c>
      <c r="D86">
        <f t="shared" si="3"/>
        <v>88</v>
      </c>
      <c r="F86">
        <f t="shared" si="4"/>
        <v>3</v>
      </c>
      <c r="G86">
        <f t="shared" si="5"/>
        <v>10</v>
      </c>
    </row>
    <row r="87" spans="1:7" x14ac:dyDescent="0.25">
      <c r="A87" s="27">
        <v>3</v>
      </c>
      <c r="B87" s="27">
        <v>11</v>
      </c>
      <c r="C87">
        <v>6.4</v>
      </c>
      <c r="D87">
        <f t="shared" si="3"/>
        <v>89</v>
      </c>
      <c r="F87">
        <f t="shared" si="4"/>
        <v>3</v>
      </c>
      <c r="G87">
        <f t="shared" si="5"/>
        <v>11</v>
      </c>
    </row>
    <row r="88" spans="1:7" x14ac:dyDescent="0.25">
      <c r="A88" s="27">
        <v>3</v>
      </c>
      <c r="B88" s="27">
        <v>12</v>
      </c>
      <c r="C88">
        <v>11.1</v>
      </c>
      <c r="D88">
        <f t="shared" si="3"/>
        <v>90</v>
      </c>
      <c r="F88">
        <f t="shared" si="4"/>
        <v>3</v>
      </c>
      <c r="G88">
        <f t="shared" si="5"/>
        <v>12</v>
      </c>
    </row>
    <row r="89" spans="1:7" x14ac:dyDescent="0.25">
      <c r="A89" s="27">
        <v>3</v>
      </c>
      <c r="B89" s="27">
        <v>13</v>
      </c>
      <c r="C89">
        <v>3.9</v>
      </c>
      <c r="D89">
        <f t="shared" si="3"/>
        <v>91</v>
      </c>
      <c r="F89">
        <f t="shared" si="4"/>
        <v>3</v>
      </c>
      <c r="G89">
        <f t="shared" si="5"/>
        <v>13</v>
      </c>
    </row>
    <row r="90" spans="1:7" x14ac:dyDescent="0.25">
      <c r="A90" s="27">
        <v>3</v>
      </c>
      <c r="B90" s="27">
        <v>14</v>
      </c>
      <c r="C90">
        <v>4.3</v>
      </c>
      <c r="D90">
        <f t="shared" si="3"/>
        <v>92</v>
      </c>
      <c r="F90">
        <f t="shared" si="4"/>
        <v>3</v>
      </c>
      <c r="G90">
        <f t="shared" si="5"/>
        <v>14</v>
      </c>
    </row>
    <row r="91" spans="1:7" x14ac:dyDescent="0.25">
      <c r="A91" s="27">
        <v>3</v>
      </c>
      <c r="B91" s="27">
        <v>15</v>
      </c>
      <c r="C91">
        <v>4.4000000000000004</v>
      </c>
      <c r="D91">
        <f t="shared" si="3"/>
        <v>93</v>
      </c>
      <c r="F91">
        <f t="shared" si="4"/>
        <v>3</v>
      </c>
      <c r="G91">
        <f t="shared" si="5"/>
        <v>15</v>
      </c>
    </row>
    <row r="92" spans="1:7" x14ac:dyDescent="0.25">
      <c r="A92" s="27">
        <v>3</v>
      </c>
      <c r="B92" s="27">
        <v>16</v>
      </c>
      <c r="C92">
        <v>7.2</v>
      </c>
      <c r="D92">
        <f t="shared" si="3"/>
        <v>94</v>
      </c>
      <c r="F92">
        <f t="shared" si="4"/>
        <v>3</v>
      </c>
      <c r="G92">
        <f t="shared" si="5"/>
        <v>16</v>
      </c>
    </row>
    <row r="93" spans="1:7" x14ac:dyDescent="0.25">
      <c r="A93" s="27">
        <v>3</v>
      </c>
      <c r="B93" s="27">
        <v>17</v>
      </c>
      <c r="C93">
        <v>5.3</v>
      </c>
      <c r="D93">
        <f t="shared" si="3"/>
        <v>95</v>
      </c>
      <c r="F93">
        <f t="shared" si="4"/>
        <v>3</v>
      </c>
      <c r="G93">
        <f t="shared" si="5"/>
        <v>17</v>
      </c>
    </row>
    <row r="94" spans="1:7" x14ac:dyDescent="0.25">
      <c r="A94" s="27">
        <v>3</v>
      </c>
      <c r="B94" s="27">
        <v>18</v>
      </c>
      <c r="C94">
        <v>6</v>
      </c>
      <c r="D94">
        <f t="shared" si="3"/>
        <v>96</v>
      </c>
      <c r="F94">
        <f t="shared" si="4"/>
        <v>3</v>
      </c>
      <c r="G94">
        <f t="shared" si="5"/>
        <v>18</v>
      </c>
    </row>
    <row r="95" spans="1:7" x14ac:dyDescent="0.25">
      <c r="A95" s="27">
        <v>3</v>
      </c>
      <c r="B95" s="27">
        <v>19</v>
      </c>
      <c r="C95">
        <v>10.6</v>
      </c>
      <c r="D95">
        <f t="shared" si="3"/>
        <v>97</v>
      </c>
      <c r="F95">
        <f t="shared" si="4"/>
        <v>3</v>
      </c>
      <c r="G95">
        <f t="shared" si="5"/>
        <v>19</v>
      </c>
    </row>
    <row r="96" spans="1:7" x14ac:dyDescent="0.25">
      <c r="A96" s="27">
        <v>3</v>
      </c>
      <c r="B96" s="27">
        <v>20</v>
      </c>
      <c r="C96">
        <v>5.9</v>
      </c>
      <c r="D96">
        <f t="shared" si="3"/>
        <v>98</v>
      </c>
      <c r="F96">
        <f t="shared" si="4"/>
        <v>3</v>
      </c>
      <c r="G96">
        <f t="shared" si="5"/>
        <v>20</v>
      </c>
    </row>
    <row r="97" spans="1:7" x14ac:dyDescent="0.25">
      <c r="A97" s="27">
        <v>3</v>
      </c>
      <c r="B97" s="27">
        <v>21</v>
      </c>
      <c r="C97">
        <v>7.4</v>
      </c>
      <c r="D97">
        <f t="shared" si="3"/>
        <v>99</v>
      </c>
      <c r="F97">
        <f t="shared" si="4"/>
        <v>3</v>
      </c>
      <c r="G97">
        <f t="shared" si="5"/>
        <v>21</v>
      </c>
    </row>
    <row r="98" spans="1:7" x14ac:dyDescent="0.25">
      <c r="A98" s="27">
        <v>3</v>
      </c>
      <c r="B98" s="27">
        <v>22</v>
      </c>
      <c r="C98">
        <v>4.7</v>
      </c>
      <c r="D98">
        <f t="shared" si="3"/>
        <v>100</v>
      </c>
      <c r="F98">
        <f t="shared" si="4"/>
        <v>3</v>
      </c>
      <c r="G98">
        <f t="shared" si="5"/>
        <v>22</v>
      </c>
    </row>
    <row r="99" spans="1:7" x14ac:dyDescent="0.25">
      <c r="A99" s="27">
        <v>3</v>
      </c>
      <c r="B99" s="27">
        <v>23</v>
      </c>
      <c r="C99">
        <v>0.6</v>
      </c>
      <c r="D99">
        <f t="shared" si="3"/>
        <v>101</v>
      </c>
      <c r="F99">
        <f t="shared" si="4"/>
        <v>3</v>
      </c>
      <c r="G99">
        <f t="shared" si="5"/>
        <v>23</v>
      </c>
    </row>
    <row r="100" spans="1:7" x14ac:dyDescent="0.25">
      <c r="A100" s="27">
        <v>3</v>
      </c>
      <c r="B100" s="27">
        <v>24</v>
      </c>
      <c r="C100">
        <v>6.4</v>
      </c>
      <c r="D100">
        <f t="shared" si="3"/>
        <v>102</v>
      </c>
      <c r="F100">
        <f t="shared" si="4"/>
        <v>3</v>
      </c>
      <c r="G100">
        <f t="shared" si="5"/>
        <v>24</v>
      </c>
    </row>
    <row r="101" spans="1:7" x14ac:dyDescent="0.25">
      <c r="A101" s="27">
        <v>3</v>
      </c>
      <c r="B101" s="27">
        <v>25</v>
      </c>
      <c r="C101">
        <v>10.1</v>
      </c>
      <c r="D101">
        <f t="shared" si="3"/>
        <v>103</v>
      </c>
      <c r="F101">
        <f t="shared" si="4"/>
        <v>3</v>
      </c>
      <c r="G101">
        <f t="shared" si="5"/>
        <v>25</v>
      </c>
    </row>
    <row r="102" spans="1:7" x14ac:dyDescent="0.25">
      <c r="A102" s="27">
        <v>3</v>
      </c>
      <c r="B102" s="27">
        <v>26</v>
      </c>
      <c r="C102">
        <v>10.1</v>
      </c>
      <c r="D102">
        <f t="shared" si="3"/>
        <v>104</v>
      </c>
      <c r="F102">
        <f t="shared" si="4"/>
        <v>4</v>
      </c>
      <c r="G102">
        <f t="shared" si="5"/>
        <v>0</v>
      </c>
    </row>
    <row r="103" spans="1:7" x14ac:dyDescent="0.25">
      <c r="A103" s="27">
        <v>4</v>
      </c>
      <c r="B103" s="27">
        <v>4</v>
      </c>
      <c r="C103">
        <v>0</v>
      </c>
      <c r="D103">
        <f t="shared" si="3"/>
        <v>108</v>
      </c>
      <c r="F103">
        <f t="shared" si="4"/>
        <v>4</v>
      </c>
      <c r="G103">
        <f t="shared" si="5"/>
        <v>4</v>
      </c>
    </row>
    <row r="104" spans="1:7" x14ac:dyDescent="0.25">
      <c r="A104" s="27">
        <v>4</v>
      </c>
      <c r="B104" s="27">
        <v>5</v>
      </c>
      <c r="C104">
        <v>1.9</v>
      </c>
      <c r="D104">
        <f t="shared" si="3"/>
        <v>109</v>
      </c>
      <c r="F104">
        <f t="shared" si="4"/>
        <v>4</v>
      </c>
      <c r="G104">
        <f t="shared" si="5"/>
        <v>5</v>
      </c>
    </row>
    <row r="105" spans="1:7" x14ac:dyDescent="0.25">
      <c r="A105" s="27">
        <v>4</v>
      </c>
      <c r="B105" s="27">
        <v>6</v>
      </c>
      <c r="C105">
        <v>7.9</v>
      </c>
      <c r="D105">
        <f t="shared" si="3"/>
        <v>110</v>
      </c>
      <c r="F105">
        <f t="shared" si="4"/>
        <v>4</v>
      </c>
      <c r="G105">
        <f t="shared" si="5"/>
        <v>6</v>
      </c>
    </row>
    <row r="106" spans="1:7" x14ac:dyDescent="0.25">
      <c r="A106" s="27">
        <v>4</v>
      </c>
      <c r="B106" s="27">
        <v>7</v>
      </c>
      <c r="C106">
        <v>5.0999999999999996</v>
      </c>
      <c r="D106">
        <f t="shared" si="3"/>
        <v>111</v>
      </c>
      <c r="F106">
        <f t="shared" si="4"/>
        <v>4</v>
      </c>
      <c r="G106">
        <f t="shared" si="5"/>
        <v>7</v>
      </c>
    </row>
    <row r="107" spans="1:7" x14ac:dyDescent="0.25">
      <c r="A107" s="27">
        <v>4</v>
      </c>
      <c r="B107" s="27">
        <v>8</v>
      </c>
      <c r="C107">
        <v>7.5</v>
      </c>
      <c r="D107">
        <f t="shared" si="3"/>
        <v>112</v>
      </c>
      <c r="F107">
        <f t="shared" si="4"/>
        <v>4</v>
      </c>
      <c r="G107">
        <f t="shared" si="5"/>
        <v>8</v>
      </c>
    </row>
    <row r="108" spans="1:7" x14ac:dyDescent="0.25">
      <c r="A108" s="27">
        <v>4</v>
      </c>
      <c r="B108" s="27">
        <v>9</v>
      </c>
      <c r="C108">
        <v>2.6</v>
      </c>
      <c r="D108">
        <f t="shared" si="3"/>
        <v>113</v>
      </c>
      <c r="F108">
        <f t="shared" si="4"/>
        <v>4</v>
      </c>
      <c r="G108">
        <f t="shared" si="5"/>
        <v>9</v>
      </c>
    </row>
    <row r="109" spans="1:7" x14ac:dyDescent="0.25">
      <c r="A109" s="27">
        <v>4</v>
      </c>
      <c r="B109" s="27">
        <v>10</v>
      </c>
      <c r="C109">
        <v>6.5</v>
      </c>
      <c r="D109">
        <f t="shared" si="3"/>
        <v>114</v>
      </c>
      <c r="F109">
        <f t="shared" si="4"/>
        <v>4</v>
      </c>
      <c r="G109">
        <f t="shared" si="5"/>
        <v>10</v>
      </c>
    </row>
    <row r="110" spans="1:7" x14ac:dyDescent="0.25">
      <c r="A110" s="27">
        <v>4</v>
      </c>
      <c r="B110" s="27">
        <v>11</v>
      </c>
      <c r="C110">
        <v>1.5</v>
      </c>
      <c r="D110">
        <f t="shared" si="3"/>
        <v>115</v>
      </c>
      <c r="F110">
        <f t="shared" si="4"/>
        <v>4</v>
      </c>
      <c r="G110">
        <f t="shared" si="5"/>
        <v>11</v>
      </c>
    </row>
    <row r="111" spans="1:7" x14ac:dyDescent="0.25">
      <c r="A111" s="27">
        <v>4</v>
      </c>
      <c r="B111" s="27">
        <v>12</v>
      </c>
      <c r="C111">
        <v>7.5</v>
      </c>
      <c r="D111">
        <f t="shared" si="3"/>
        <v>116</v>
      </c>
      <c r="F111">
        <f t="shared" si="4"/>
        <v>4</v>
      </c>
      <c r="G111">
        <f t="shared" si="5"/>
        <v>12</v>
      </c>
    </row>
    <row r="112" spans="1:7" x14ac:dyDescent="0.25">
      <c r="A112" s="27">
        <v>4</v>
      </c>
      <c r="B112" s="27">
        <v>13</v>
      </c>
      <c r="C112">
        <v>3.2</v>
      </c>
      <c r="D112">
        <f t="shared" si="3"/>
        <v>117</v>
      </c>
      <c r="F112">
        <f t="shared" si="4"/>
        <v>4</v>
      </c>
      <c r="G112">
        <f t="shared" si="5"/>
        <v>13</v>
      </c>
    </row>
    <row r="113" spans="1:7" x14ac:dyDescent="0.25">
      <c r="A113" s="27">
        <v>4</v>
      </c>
      <c r="B113" s="27">
        <v>14</v>
      </c>
      <c r="C113">
        <v>2.4</v>
      </c>
      <c r="D113">
        <f t="shared" si="3"/>
        <v>118</v>
      </c>
      <c r="F113">
        <f t="shared" si="4"/>
        <v>4</v>
      </c>
      <c r="G113">
        <f t="shared" si="5"/>
        <v>14</v>
      </c>
    </row>
    <row r="114" spans="1:7" x14ac:dyDescent="0.25">
      <c r="A114" s="27">
        <v>4</v>
      </c>
      <c r="B114" s="27">
        <v>15</v>
      </c>
      <c r="C114">
        <v>2.7</v>
      </c>
      <c r="D114">
        <f t="shared" si="3"/>
        <v>119</v>
      </c>
      <c r="F114">
        <f t="shared" si="4"/>
        <v>4</v>
      </c>
      <c r="G114">
        <f t="shared" si="5"/>
        <v>15</v>
      </c>
    </row>
    <row r="115" spans="1:7" x14ac:dyDescent="0.25">
      <c r="A115" s="27">
        <v>4</v>
      </c>
      <c r="B115" s="27">
        <v>16</v>
      </c>
      <c r="C115">
        <v>1.4</v>
      </c>
      <c r="D115">
        <f t="shared" si="3"/>
        <v>120</v>
      </c>
      <c r="F115">
        <f t="shared" si="4"/>
        <v>4</v>
      </c>
      <c r="G115">
        <f t="shared" si="5"/>
        <v>16</v>
      </c>
    </row>
    <row r="116" spans="1:7" x14ac:dyDescent="0.25">
      <c r="A116" s="27">
        <v>4</v>
      </c>
      <c r="B116" s="27">
        <v>17</v>
      </c>
      <c r="C116">
        <v>0.5</v>
      </c>
      <c r="D116">
        <f t="shared" si="3"/>
        <v>121</v>
      </c>
      <c r="F116">
        <f t="shared" si="4"/>
        <v>4</v>
      </c>
      <c r="G116">
        <f t="shared" si="5"/>
        <v>17</v>
      </c>
    </row>
    <row r="117" spans="1:7" x14ac:dyDescent="0.25">
      <c r="A117" s="27">
        <v>4</v>
      </c>
      <c r="B117" s="27">
        <v>18</v>
      </c>
      <c r="C117">
        <v>1.7</v>
      </c>
      <c r="D117">
        <f t="shared" si="3"/>
        <v>122</v>
      </c>
      <c r="F117">
        <f t="shared" si="4"/>
        <v>4</v>
      </c>
      <c r="G117">
        <f t="shared" si="5"/>
        <v>18</v>
      </c>
    </row>
    <row r="118" spans="1:7" x14ac:dyDescent="0.25">
      <c r="A118" s="27">
        <v>4</v>
      </c>
      <c r="B118" s="27">
        <v>19</v>
      </c>
      <c r="C118">
        <v>6.5</v>
      </c>
      <c r="D118">
        <f t="shared" si="3"/>
        <v>123</v>
      </c>
      <c r="F118">
        <f t="shared" si="4"/>
        <v>4</v>
      </c>
      <c r="G118">
        <f t="shared" si="5"/>
        <v>19</v>
      </c>
    </row>
    <row r="119" spans="1:7" x14ac:dyDescent="0.25">
      <c r="A119" s="27">
        <v>4</v>
      </c>
      <c r="B119" s="27">
        <v>20</v>
      </c>
      <c r="C119">
        <v>3.2</v>
      </c>
      <c r="D119">
        <f t="shared" si="3"/>
        <v>124</v>
      </c>
      <c r="F119">
        <f t="shared" si="4"/>
        <v>4</v>
      </c>
      <c r="G119">
        <f t="shared" si="5"/>
        <v>20</v>
      </c>
    </row>
    <row r="120" spans="1:7" x14ac:dyDescent="0.25">
      <c r="A120" s="27">
        <v>4</v>
      </c>
      <c r="B120" s="27">
        <v>21</v>
      </c>
      <c r="C120">
        <v>5.2</v>
      </c>
      <c r="D120">
        <f t="shared" si="3"/>
        <v>125</v>
      </c>
      <c r="F120">
        <f t="shared" si="4"/>
        <v>4</v>
      </c>
      <c r="G120">
        <f t="shared" si="5"/>
        <v>21</v>
      </c>
    </row>
    <row r="121" spans="1:7" x14ac:dyDescent="0.25">
      <c r="A121" s="27">
        <v>4</v>
      </c>
      <c r="B121" s="27">
        <v>22</v>
      </c>
      <c r="C121">
        <v>2.5</v>
      </c>
      <c r="D121">
        <f t="shared" si="3"/>
        <v>126</v>
      </c>
      <c r="F121">
        <f t="shared" si="4"/>
        <v>4</v>
      </c>
      <c r="G121">
        <f t="shared" si="5"/>
        <v>22</v>
      </c>
    </row>
    <row r="122" spans="1:7" x14ac:dyDescent="0.25">
      <c r="A122" s="27">
        <v>4</v>
      </c>
      <c r="B122" s="27">
        <v>23</v>
      </c>
      <c r="C122">
        <v>6</v>
      </c>
      <c r="D122">
        <f t="shared" si="3"/>
        <v>127</v>
      </c>
      <c r="F122">
        <f t="shared" si="4"/>
        <v>4</v>
      </c>
      <c r="G122">
        <f t="shared" si="5"/>
        <v>23</v>
      </c>
    </row>
    <row r="123" spans="1:7" x14ac:dyDescent="0.25">
      <c r="A123" s="27">
        <v>4</v>
      </c>
      <c r="B123" s="27">
        <v>24</v>
      </c>
      <c r="C123">
        <v>4.2</v>
      </c>
      <c r="D123">
        <f t="shared" si="3"/>
        <v>128</v>
      </c>
      <c r="F123">
        <f t="shared" si="4"/>
        <v>4</v>
      </c>
      <c r="G123">
        <f t="shared" si="5"/>
        <v>24</v>
      </c>
    </row>
    <row r="124" spans="1:7" x14ac:dyDescent="0.25">
      <c r="A124" s="27">
        <v>4</v>
      </c>
      <c r="B124" s="27">
        <v>25</v>
      </c>
      <c r="C124">
        <v>5.4</v>
      </c>
      <c r="D124">
        <f t="shared" si="3"/>
        <v>129</v>
      </c>
      <c r="F124">
        <f t="shared" si="4"/>
        <v>4</v>
      </c>
      <c r="G124">
        <f t="shared" si="5"/>
        <v>25</v>
      </c>
    </row>
    <row r="125" spans="1:7" x14ac:dyDescent="0.25">
      <c r="A125" s="27">
        <v>4</v>
      </c>
      <c r="B125" s="27">
        <v>26</v>
      </c>
      <c r="C125">
        <v>5.5</v>
      </c>
      <c r="D125">
        <f t="shared" si="3"/>
        <v>130</v>
      </c>
      <c r="F125">
        <f t="shared" si="4"/>
        <v>5</v>
      </c>
      <c r="G125">
        <f t="shared" si="5"/>
        <v>0</v>
      </c>
    </row>
    <row r="126" spans="1:7" x14ac:dyDescent="0.25">
      <c r="A126" s="27">
        <v>5</v>
      </c>
      <c r="B126" s="27">
        <v>5</v>
      </c>
      <c r="C126">
        <v>0</v>
      </c>
      <c r="D126">
        <f t="shared" si="3"/>
        <v>135</v>
      </c>
      <c r="F126">
        <f t="shared" si="4"/>
        <v>5</v>
      </c>
      <c r="G126">
        <f t="shared" si="5"/>
        <v>5</v>
      </c>
    </row>
    <row r="127" spans="1:7" x14ac:dyDescent="0.25">
      <c r="A127" s="27">
        <v>5</v>
      </c>
      <c r="B127" s="27">
        <v>6</v>
      </c>
      <c r="C127">
        <v>6.3</v>
      </c>
      <c r="D127">
        <f t="shared" si="3"/>
        <v>136</v>
      </c>
      <c r="F127">
        <f t="shared" si="4"/>
        <v>5</v>
      </c>
      <c r="G127">
        <f t="shared" si="5"/>
        <v>6</v>
      </c>
    </row>
    <row r="128" spans="1:7" x14ac:dyDescent="0.25">
      <c r="A128" s="27">
        <v>5</v>
      </c>
      <c r="B128" s="27">
        <v>7</v>
      </c>
      <c r="C128">
        <v>4.3</v>
      </c>
      <c r="D128">
        <f t="shared" si="3"/>
        <v>137</v>
      </c>
      <c r="F128">
        <f t="shared" si="4"/>
        <v>5</v>
      </c>
      <c r="G128">
        <f t="shared" si="5"/>
        <v>7</v>
      </c>
    </row>
    <row r="129" spans="1:7" x14ac:dyDescent="0.25">
      <c r="A129" s="27">
        <v>5</v>
      </c>
      <c r="B129" s="27">
        <v>8</v>
      </c>
      <c r="C129">
        <v>4.5</v>
      </c>
      <c r="D129">
        <f t="shared" si="3"/>
        <v>138</v>
      </c>
      <c r="F129">
        <f t="shared" si="4"/>
        <v>5</v>
      </c>
      <c r="G129">
        <f t="shared" si="5"/>
        <v>8</v>
      </c>
    </row>
    <row r="130" spans="1:7" x14ac:dyDescent="0.25">
      <c r="A130" s="27">
        <v>5</v>
      </c>
      <c r="B130" s="27">
        <v>9</v>
      </c>
      <c r="C130">
        <v>1.5</v>
      </c>
      <c r="D130">
        <f t="shared" ref="D130:D193" si="6">A130*26+B130</f>
        <v>139</v>
      </c>
      <c r="F130">
        <f t="shared" ref="F130:F193" si="7">QUOTIENT(D130,26)</f>
        <v>5</v>
      </c>
      <c r="G130">
        <f t="shared" ref="G130:G193" si="8">MOD(D130,26)</f>
        <v>9</v>
      </c>
    </row>
    <row r="131" spans="1:7" x14ac:dyDescent="0.25">
      <c r="A131" s="27">
        <v>5</v>
      </c>
      <c r="B131" s="27">
        <v>10</v>
      </c>
      <c r="C131">
        <v>8.6999999999999993</v>
      </c>
      <c r="D131">
        <f t="shared" si="6"/>
        <v>140</v>
      </c>
      <c r="F131">
        <f t="shared" si="7"/>
        <v>5</v>
      </c>
      <c r="G131">
        <f t="shared" si="8"/>
        <v>10</v>
      </c>
    </row>
    <row r="132" spans="1:7" x14ac:dyDescent="0.25">
      <c r="A132" s="27">
        <v>5</v>
      </c>
      <c r="B132" s="27">
        <v>11</v>
      </c>
      <c r="C132">
        <v>0.8</v>
      </c>
      <c r="D132">
        <f t="shared" si="6"/>
        <v>141</v>
      </c>
      <c r="F132">
        <f t="shared" si="7"/>
        <v>5</v>
      </c>
      <c r="G132">
        <f t="shared" si="8"/>
        <v>11</v>
      </c>
    </row>
    <row r="133" spans="1:7" x14ac:dyDescent="0.25">
      <c r="A133" s="27">
        <v>5</v>
      </c>
      <c r="B133" s="27">
        <v>12</v>
      </c>
      <c r="C133">
        <v>4.5</v>
      </c>
      <c r="D133">
        <f t="shared" si="6"/>
        <v>142</v>
      </c>
      <c r="F133">
        <f t="shared" si="7"/>
        <v>5</v>
      </c>
      <c r="G133">
        <f t="shared" si="8"/>
        <v>12</v>
      </c>
    </row>
    <row r="134" spans="1:7" x14ac:dyDescent="0.25">
      <c r="A134" s="27">
        <v>5</v>
      </c>
      <c r="B134" s="27">
        <v>13</v>
      </c>
      <c r="C134">
        <v>3.9</v>
      </c>
      <c r="D134">
        <f t="shared" si="6"/>
        <v>143</v>
      </c>
      <c r="F134">
        <f t="shared" si="7"/>
        <v>5</v>
      </c>
      <c r="G134">
        <f t="shared" si="8"/>
        <v>13</v>
      </c>
    </row>
    <row r="135" spans="1:7" x14ac:dyDescent="0.25">
      <c r="A135" s="27">
        <v>5</v>
      </c>
      <c r="B135" s="27">
        <v>14</v>
      </c>
      <c r="C135">
        <v>3</v>
      </c>
      <c r="D135">
        <f t="shared" si="6"/>
        <v>144</v>
      </c>
      <c r="F135">
        <f t="shared" si="7"/>
        <v>5</v>
      </c>
      <c r="G135">
        <f t="shared" si="8"/>
        <v>14</v>
      </c>
    </row>
    <row r="136" spans="1:7" x14ac:dyDescent="0.25">
      <c r="A136" s="27">
        <v>5</v>
      </c>
      <c r="B136" s="27">
        <v>15</v>
      </c>
      <c r="C136">
        <v>3.8</v>
      </c>
      <c r="D136">
        <f t="shared" si="6"/>
        <v>145</v>
      </c>
      <c r="F136">
        <f t="shared" si="7"/>
        <v>5</v>
      </c>
      <c r="G136">
        <f t="shared" si="8"/>
        <v>15</v>
      </c>
    </row>
    <row r="137" spans="1:7" x14ac:dyDescent="0.25">
      <c r="A137" s="27">
        <v>5</v>
      </c>
      <c r="B137" s="27">
        <v>16</v>
      </c>
      <c r="C137">
        <v>5.7</v>
      </c>
      <c r="D137">
        <f t="shared" si="6"/>
        <v>146</v>
      </c>
      <c r="F137">
        <f t="shared" si="7"/>
        <v>5</v>
      </c>
      <c r="G137">
        <f t="shared" si="8"/>
        <v>16</v>
      </c>
    </row>
    <row r="138" spans="1:7" x14ac:dyDescent="0.25">
      <c r="A138" s="27">
        <v>5</v>
      </c>
      <c r="B138" s="27">
        <v>17</v>
      </c>
      <c r="C138">
        <v>1.9</v>
      </c>
      <c r="D138">
        <f t="shared" si="6"/>
        <v>147</v>
      </c>
      <c r="F138">
        <f t="shared" si="7"/>
        <v>5</v>
      </c>
      <c r="G138">
        <f t="shared" si="8"/>
        <v>17</v>
      </c>
    </row>
    <row r="139" spans="1:7" x14ac:dyDescent="0.25">
      <c r="A139" s="27">
        <v>5</v>
      </c>
      <c r="B139" s="27">
        <v>18</v>
      </c>
      <c r="C139">
        <v>1.1000000000000001</v>
      </c>
      <c r="D139">
        <f t="shared" si="6"/>
        <v>148</v>
      </c>
      <c r="F139">
        <f t="shared" si="7"/>
        <v>5</v>
      </c>
      <c r="G139">
        <f t="shared" si="8"/>
        <v>18</v>
      </c>
    </row>
    <row r="140" spans="1:7" x14ac:dyDescent="0.25">
      <c r="A140" s="27">
        <v>5</v>
      </c>
      <c r="B140" s="27">
        <v>19</v>
      </c>
      <c r="C140">
        <v>3.5</v>
      </c>
      <c r="D140">
        <f t="shared" si="6"/>
        <v>149</v>
      </c>
      <c r="F140">
        <f t="shared" si="7"/>
        <v>5</v>
      </c>
      <c r="G140">
        <f t="shared" si="8"/>
        <v>19</v>
      </c>
    </row>
    <row r="141" spans="1:7" x14ac:dyDescent="0.25">
      <c r="A141" s="27">
        <v>5</v>
      </c>
      <c r="B141" s="27">
        <v>20</v>
      </c>
      <c r="C141">
        <v>4.9000000000000004</v>
      </c>
      <c r="D141">
        <f t="shared" si="6"/>
        <v>150</v>
      </c>
      <c r="F141">
        <f t="shared" si="7"/>
        <v>5</v>
      </c>
      <c r="G141">
        <f t="shared" si="8"/>
        <v>20</v>
      </c>
    </row>
    <row r="142" spans="1:7" x14ac:dyDescent="0.25">
      <c r="A142" s="27">
        <v>5</v>
      </c>
      <c r="B142" s="27">
        <v>21</v>
      </c>
      <c r="C142">
        <v>6.9</v>
      </c>
      <c r="D142">
        <f t="shared" si="6"/>
        <v>151</v>
      </c>
      <c r="F142">
        <f t="shared" si="7"/>
        <v>5</v>
      </c>
      <c r="G142">
        <f t="shared" si="8"/>
        <v>21</v>
      </c>
    </row>
    <row r="143" spans="1:7" x14ac:dyDescent="0.25">
      <c r="A143" s="27">
        <v>5</v>
      </c>
      <c r="B143" s="27">
        <v>22</v>
      </c>
      <c r="C143">
        <v>4.2</v>
      </c>
      <c r="D143">
        <f t="shared" si="6"/>
        <v>152</v>
      </c>
      <c r="F143">
        <f t="shared" si="7"/>
        <v>5</v>
      </c>
      <c r="G143">
        <f t="shared" si="8"/>
        <v>22</v>
      </c>
    </row>
    <row r="144" spans="1:7" x14ac:dyDescent="0.25">
      <c r="A144" s="27">
        <v>5</v>
      </c>
      <c r="B144" s="27">
        <v>23</v>
      </c>
      <c r="C144">
        <v>9</v>
      </c>
      <c r="D144">
        <f t="shared" si="6"/>
        <v>153</v>
      </c>
      <c r="F144">
        <f t="shared" si="7"/>
        <v>5</v>
      </c>
      <c r="G144">
        <f t="shared" si="8"/>
        <v>23</v>
      </c>
    </row>
    <row r="145" spans="1:7" x14ac:dyDescent="0.25">
      <c r="A145" s="27">
        <v>5</v>
      </c>
      <c r="B145" s="27">
        <v>24</v>
      </c>
      <c r="C145">
        <v>5.9</v>
      </c>
      <c r="D145">
        <f t="shared" si="6"/>
        <v>154</v>
      </c>
      <c r="F145">
        <f t="shared" si="7"/>
        <v>5</v>
      </c>
      <c r="G145">
        <f t="shared" si="8"/>
        <v>24</v>
      </c>
    </row>
    <row r="146" spans="1:7" x14ac:dyDescent="0.25">
      <c r="A146" s="27">
        <v>5</v>
      </c>
      <c r="B146" s="27">
        <v>25</v>
      </c>
      <c r="C146">
        <v>3.5</v>
      </c>
      <c r="D146">
        <f t="shared" si="6"/>
        <v>155</v>
      </c>
      <c r="F146">
        <f t="shared" si="7"/>
        <v>5</v>
      </c>
      <c r="G146">
        <f t="shared" si="8"/>
        <v>25</v>
      </c>
    </row>
    <row r="147" spans="1:7" x14ac:dyDescent="0.25">
      <c r="A147" s="27">
        <v>5</v>
      </c>
      <c r="B147" s="27">
        <v>26</v>
      </c>
      <c r="C147">
        <v>7.2</v>
      </c>
      <c r="D147">
        <f t="shared" si="6"/>
        <v>156</v>
      </c>
      <c r="F147">
        <f t="shared" si="7"/>
        <v>6</v>
      </c>
      <c r="G147">
        <f t="shared" si="8"/>
        <v>0</v>
      </c>
    </row>
    <row r="148" spans="1:7" x14ac:dyDescent="0.25">
      <c r="A148" s="27">
        <v>6</v>
      </c>
      <c r="B148" s="27">
        <v>6</v>
      </c>
      <c r="C148">
        <v>0</v>
      </c>
      <c r="D148">
        <f t="shared" si="6"/>
        <v>162</v>
      </c>
      <c r="F148">
        <f t="shared" si="7"/>
        <v>6</v>
      </c>
      <c r="G148">
        <f t="shared" si="8"/>
        <v>6</v>
      </c>
    </row>
    <row r="149" spans="1:7" x14ac:dyDescent="0.25">
      <c r="A149" s="27">
        <v>6</v>
      </c>
      <c r="B149" s="27">
        <v>7</v>
      </c>
      <c r="C149">
        <v>4</v>
      </c>
      <c r="D149">
        <f t="shared" si="6"/>
        <v>163</v>
      </c>
      <c r="F149">
        <f t="shared" si="7"/>
        <v>6</v>
      </c>
      <c r="G149">
        <f t="shared" si="8"/>
        <v>7</v>
      </c>
    </row>
    <row r="150" spans="1:7" x14ac:dyDescent="0.25">
      <c r="A150" s="27">
        <v>6</v>
      </c>
      <c r="B150" s="27">
        <v>8</v>
      </c>
      <c r="C150">
        <v>4.2</v>
      </c>
      <c r="D150">
        <f t="shared" si="6"/>
        <v>164</v>
      </c>
      <c r="F150">
        <f t="shared" si="7"/>
        <v>6</v>
      </c>
      <c r="G150">
        <f t="shared" si="8"/>
        <v>8</v>
      </c>
    </row>
    <row r="151" spans="1:7" x14ac:dyDescent="0.25">
      <c r="A151" s="27">
        <v>6</v>
      </c>
      <c r="B151" s="27">
        <v>9</v>
      </c>
      <c r="C151">
        <v>8</v>
      </c>
      <c r="D151">
        <f t="shared" si="6"/>
        <v>165</v>
      </c>
      <c r="F151">
        <f t="shared" si="7"/>
        <v>6</v>
      </c>
      <c r="G151">
        <f t="shared" si="8"/>
        <v>9</v>
      </c>
    </row>
    <row r="152" spans="1:7" x14ac:dyDescent="0.25">
      <c r="A152" s="27">
        <v>6</v>
      </c>
      <c r="B152" s="27">
        <v>10</v>
      </c>
      <c r="C152">
        <v>8.6</v>
      </c>
      <c r="D152">
        <f t="shared" si="6"/>
        <v>166</v>
      </c>
      <c r="F152">
        <f t="shared" si="7"/>
        <v>6</v>
      </c>
      <c r="G152">
        <f t="shared" si="8"/>
        <v>10</v>
      </c>
    </row>
    <row r="153" spans="1:7" x14ac:dyDescent="0.25">
      <c r="A153" s="27">
        <v>6</v>
      </c>
      <c r="B153" s="27">
        <v>11</v>
      </c>
      <c r="C153">
        <v>6.9</v>
      </c>
      <c r="D153">
        <f t="shared" si="6"/>
        <v>167</v>
      </c>
      <c r="F153">
        <f t="shared" si="7"/>
        <v>6</v>
      </c>
      <c r="G153">
        <f t="shared" si="8"/>
        <v>11</v>
      </c>
    </row>
    <row r="154" spans="1:7" x14ac:dyDescent="0.25">
      <c r="A154" s="27">
        <v>6</v>
      </c>
      <c r="B154" s="27">
        <v>12</v>
      </c>
      <c r="C154">
        <v>4.2</v>
      </c>
      <c r="D154">
        <f t="shared" si="6"/>
        <v>168</v>
      </c>
      <c r="F154">
        <f t="shared" si="7"/>
        <v>6</v>
      </c>
      <c r="G154">
        <f t="shared" si="8"/>
        <v>12</v>
      </c>
    </row>
    <row r="155" spans="1:7" x14ac:dyDescent="0.25">
      <c r="A155" s="27">
        <v>6</v>
      </c>
      <c r="B155" s="27">
        <v>13</v>
      </c>
      <c r="C155">
        <v>4.2</v>
      </c>
      <c r="D155">
        <f t="shared" si="6"/>
        <v>169</v>
      </c>
      <c r="F155">
        <f t="shared" si="7"/>
        <v>6</v>
      </c>
      <c r="G155">
        <f t="shared" si="8"/>
        <v>13</v>
      </c>
    </row>
    <row r="156" spans="1:7" x14ac:dyDescent="0.25">
      <c r="A156" s="27">
        <v>6</v>
      </c>
      <c r="B156" s="27">
        <v>14</v>
      </c>
      <c r="C156">
        <v>8</v>
      </c>
      <c r="D156">
        <f t="shared" si="6"/>
        <v>170</v>
      </c>
      <c r="F156">
        <f t="shared" si="7"/>
        <v>6</v>
      </c>
      <c r="G156">
        <f t="shared" si="8"/>
        <v>14</v>
      </c>
    </row>
    <row r="157" spans="1:7" x14ac:dyDescent="0.25">
      <c r="A157" s="27">
        <v>6</v>
      </c>
      <c r="B157" s="27">
        <v>15</v>
      </c>
      <c r="C157">
        <v>5.8</v>
      </c>
      <c r="D157">
        <f t="shared" si="6"/>
        <v>171</v>
      </c>
      <c r="F157">
        <f t="shared" si="7"/>
        <v>6</v>
      </c>
      <c r="G157">
        <f t="shared" si="8"/>
        <v>15</v>
      </c>
    </row>
    <row r="158" spans="1:7" x14ac:dyDescent="0.25">
      <c r="A158" s="27">
        <v>6</v>
      </c>
      <c r="B158" s="27">
        <v>16</v>
      </c>
      <c r="C158">
        <v>7.2</v>
      </c>
      <c r="D158">
        <f t="shared" si="6"/>
        <v>172</v>
      </c>
      <c r="F158">
        <f t="shared" si="7"/>
        <v>6</v>
      </c>
      <c r="G158">
        <f t="shared" si="8"/>
        <v>16</v>
      </c>
    </row>
    <row r="159" spans="1:7" x14ac:dyDescent="0.25">
      <c r="A159" s="27">
        <v>6</v>
      </c>
      <c r="B159" s="27">
        <v>17</v>
      </c>
      <c r="C159">
        <v>7.7</v>
      </c>
      <c r="D159">
        <f t="shared" si="6"/>
        <v>173</v>
      </c>
      <c r="F159">
        <f t="shared" si="7"/>
        <v>6</v>
      </c>
      <c r="G159">
        <f t="shared" si="8"/>
        <v>17</v>
      </c>
    </row>
    <row r="160" spans="1:7" x14ac:dyDescent="0.25">
      <c r="A160" s="27">
        <v>6</v>
      </c>
      <c r="B160" s="27">
        <v>18</v>
      </c>
      <c r="C160">
        <v>6.6</v>
      </c>
      <c r="D160">
        <f t="shared" si="6"/>
        <v>174</v>
      </c>
      <c r="F160">
        <f t="shared" si="7"/>
        <v>6</v>
      </c>
      <c r="G160">
        <f t="shared" si="8"/>
        <v>18</v>
      </c>
    </row>
    <row r="161" spans="1:7" x14ac:dyDescent="0.25">
      <c r="A161" s="27">
        <v>6</v>
      </c>
      <c r="B161" s="27">
        <v>19</v>
      </c>
      <c r="C161">
        <v>3.2</v>
      </c>
      <c r="D161">
        <f t="shared" si="6"/>
        <v>175</v>
      </c>
      <c r="F161">
        <f t="shared" si="7"/>
        <v>6</v>
      </c>
      <c r="G161">
        <f t="shared" si="8"/>
        <v>19</v>
      </c>
    </row>
    <row r="162" spans="1:7" x14ac:dyDescent="0.25">
      <c r="A162" s="27">
        <v>6</v>
      </c>
      <c r="B162" s="27">
        <v>20</v>
      </c>
      <c r="C162">
        <v>11.2</v>
      </c>
      <c r="D162">
        <f t="shared" si="6"/>
        <v>176</v>
      </c>
      <c r="F162">
        <f t="shared" si="7"/>
        <v>6</v>
      </c>
      <c r="G162">
        <f t="shared" si="8"/>
        <v>20</v>
      </c>
    </row>
    <row r="163" spans="1:7" x14ac:dyDescent="0.25">
      <c r="A163" s="27">
        <v>6</v>
      </c>
      <c r="B163" s="27">
        <v>21</v>
      </c>
      <c r="C163">
        <v>12.7</v>
      </c>
      <c r="D163">
        <f t="shared" si="6"/>
        <v>177</v>
      </c>
      <c r="F163">
        <f t="shared" si="7"/>
        <v>6</v>
      </c>
      <c r="G163">
        <f t="shared" si="8"/>
        <v>21</v>
      </c>
    </row>
    <row r="164" spans="1:7" x14ac:dyDescent="0.25">
      <c r="A164" s="27">
        <v>6</v>
      </c>
      <c r="B164" s="27">
        <v>22</v>
      </c>
      <c r="C164">
        <v>10</v>
      </c>
      <c r="D164">
        <f t="shared" si="6"/>
        <v>178</v>
      </c>
      <c r="F164">
        <f t="shared" si="7"/>
        <v>6</v>
      </c>
      <c r="G164">
        <f t="shared" si="8"/>
        <v>22</v>
      </c>
    </row>
    <row r="165" spans="1:7" x14ac:dyDescent="0.25">
      <c r="A165" s="27">
        <v>6</v>
      </c>
      <c r="B165" s="27">
        <v>23</v>
      </c>
      <c r="C165">
        <v>8.1999999999999993</v>
      </c>
      <c r="D165">
        <f t="shared" si="6"/>
        <v>179</v>
      </c>
      <c r="F165">
        <f t="shared" si="7"/>
        <v>6</v>
      </c>
      <c r="G165">
        <f t="shared" si="8"/>
        <v>23</v>
      </c>
    </row>
    <row r="166" spans="1:7" x14ac:dyDescent="0.25">
      <c r="A166" s="27">
        <v>6</v>
      </c>
      <c r="B166" s="27">
        <v>24</v>
      </c>
      <c r="C166">
        <v>11.7</v>
      </c>
      <c r="D166">
        <f t="shared" si="6"/>
        <v>180</v>
      </c>
      <c r="F166">
        <f t="shared" si="7"/>
        <v>6</v>
      </c>
      <c r="G166">
        <f t="shared" si="8"/>
        <v>24</v>
      </c>
    </row>
    <row r="167" spans="1:7" x14ac:dyDescent="0.25">
      <c r="A167" s="27">
        <v>6</v>
      </c>
      <c r="B167" s="27">
        <v>25</v>
      </c>
      <c r="C167">
        <v>5.0999999999999996</v>
      </c>
      <c r="D167">
        <f t="shared" si="6"/>
        <v>181</v>
      </c>
      <c r="F167">
        <f t="shared" si="7"/>
        <v>6</v>
      </c>
      <c r="G167">
        <f t="shared" si="8"/>
        <v>25</v>
      </c>
    </row>
    <row r="168" spans="1:7" x14ac:dyDescent="0.25">
      <c r="A168" s="27">
        <v>6</v>
      </c>
      <c r="B168" s="27">
        <v>26</v>
      </c>
      <c r="C168">
        <v>14.2</v>
      </c>
      <c r="D168">
        <f t="shared" si="6"/>
        <v>182</v>
      </c>
      <c r="F168">
        <f t="shared" si="7"/>
        <v>7</v>
      </c>
      <c r="G168">
        <f t="shared" si="8"/>
        <v>0</v>
      </c>
    </row>
    <row r="169" spans="1:7" x14ac:dyDescent="0.25">
      <c r="A169" s="27">
        <v>7</v>
      </c>
      <c r="B169" s="27">
        <v>7</v>
      </c>
      <c r="C169">
        <v>0</v>
      </c>
      <c r="D169">
        <f t="shared" si="6"/>
        <v>189</v>
      </c>
      <c r="F169">
        <f t="shared" si="7"/>
        <v>7</v>
      </c>
      <c r="G169">
        <f t="shared" si="8"/>
        <v>7</v>
      </c>
    </row>
    <row r="170" spans="1:7" x14ac:dyDescent="0.25">
      <c r="A170" s="27">
        <v>7</v>
      </c>
      <c r="B170" s="27">
        <v>8</v>
      </c>
      <c r="C170">
        <v>7.7</v>
      </c>
      <c r="D170">
        <f t="shared" si="6"/>
        <v>190</v>
      </c>
      <c r="F170">
        <f t="shared" si="7"/>
        <v>7</v>
      </c>
      <c r="G170">
        <f t="shared" si="8"/>
        <v>8</v>
      </c>
    </row>
    <row r="171" spans="1:7" x14ac:dyDescent="0.25">
      <c r="A171" s="27">
        <v>7</v>
      </c>
      <c r="B171" s="27">
        <v>9</v>
      </c>
      <c r="C171">
        <v>9.3000000000000007</v>
      </c>
      <c r="D171">
        <f t="shared" si="6"/>
        <v>191</v>
      </c>
      <c r="F171">
        <f t="shared" si="7"/>
        <v>7</v>
      </c>
      <c r="G171">
        <f t="shared" si="8"/>
        <v>9</v>
      </c>
    </row>
    <row r="172" spans="1:7" x14ac:dyDescent="0.25">
      <c r="A172" s="27">
        <v>7</v>
      </c>
      <c r="B172" s="27">
        <v>10</v>
      </c>
      <c r="C172">
        <v>4.5999999999999996</v>
      </c>
      <c r="D172">
        <f t="shared" si="6"/>
        <v>192</v>
      </c>
      <c r="F172">
        <f t="shared" si="7"/>
        <v>7</v>
      </c>
      <c r="G172">
        <f t="shared" si="8"/>
        <v>10</v>
      </c>
    </row>
    <row r="173" spans="1:7" x14ac:dyDescent="0.25">
      <c r="A173" s="27">
        <v>7</v>
      </c>
      <c r="B173" s="27">
        <v>11</v>
      </c>
      <c r="C173">
        <v>4.8</v>
      </c>
      <c r="D173">
        <f t="shared" si="6"/>
        <v>193</v>
      </c>
      <c r="F173">
        <f t="shared" si="7"/>
        <v>7</v>
      </c>
      <c r="G173">
        <f t="shared" si="8"/>
        <v>11</v>
      </c>
    </row>
    <row r="174" spans="1:7" x14ac:dyDescent="0.25">
      <c r="A174" s="27">
        <v>7</v>
      </c>
      <c r="B174" s="27">
        <v>12</v>
      </c>
      <c r="C174">
        <v>7.7</v>
      </c>
      <c r="D174">
        <f t="shared" si="6"/>
        <v>194</v>
      </c>
      <c r="F174">
        <f t="shared" si="7"/>
        <v>7</v>
      </c>
      <c r="G174">
        <f t="shared" si="8"/>
        <v>12</v>
      </c>
    </row>
    <row r="175" spans="1:7" x14ac:dyDescent="0.25">
      <c r="A175" s="27">
        <v>7</v>
      </c>
      <c r="B175" s="27">
        <v>13</v>
      </c>
      <c r="C175">
        <v>1.6</v>
      </c>
      <c r="D175">
        <f t="shared" si="6"/>
        <v>195</v>
      </c>
      <c r="F175">
        <f t="shared" si="7"/>
        <v>7</v>
      </c>
      <c r="G175">
        <f t="shared" si="8"/>
        <v>13</v>
      </c>
    </row>
    <row r="176" spans="1:7" x14ac:dyDescent="0.25">
      <c r="A176" s="27">
        <v>7</v>
      </c>
      <c r="B176" s="27">
        <v>14</v>
      </c>
      <c r="C176">
        <v>3.3</v>
      </c>
      <c r="D176">
        <f t="shared" si="6"/>
        <v>196</v>
      </c>
      <c r="F176">
        <f t="shared" si="7"/>
        <v>7</v>
      </c>
      <c r="G176">
        <f t="shared" si="8"/>
        <v>14</v>
      </c>
    </row>
    <row r="177" spans="1:7" x14ac:dyDescent="0.25">
      <c r="A177" s="27">
        <v>7</v>
      </c>
      <c r="B177" s="27">
        <v>15</v>
      </c>
      <c r="C177">
        <v>3.4</v>
      </c>
      <c r="D177">
        <f t="shared" si="6"/>
        <v>197</v>
      </c>
      <c r="F177">
        <f t="shared" si="7"/>
        <v>7</v>
      </c>
      <c r="G177">
        <f t="shared" si="8"/>
        <v>15</v>
      </c>
    </row>
    <row r="178" spans="1:7" x14ac:dyDescent="0.25">
      <c r="A178" s="27">
        <v>7</v>
      </c>
      <c r="B178" s="27">
        <v>16</v>
      </c>
      <c r="C178">
        <v>3.1</v>
      </c>
      <c r="D178">
        <f t="shared" si="6"/>
        <v>198</v>
      </c>
      <c r="F178">
        <f t="shared" si="7"/>
        <v>7</v>
      </c>
      <c r="G178">
        <f t="shared" si="8"/>
        <v>16</v>
      </c>
    </row>
    <row r="179" spans="1:7" x14ac:dyDescent="0.25">
      <c r="A179" s="27">
        <v>7</v>
      </c>
      <c r="B179" s="27">
        <v>17</v>
      </c>
      <c r="C179">
        <v>5.0999999999999996</v>
      </c>
      <c r="D179">
        <f t="shared" si="6"/>
        <v>199</v>
      </c>
      <c r="F179">
        <f t="shared" si="7"/>
        <v>7</v>
      </c>
      <c r="G179">
        <f t="shared" si="8"/>
        <v>17</v>
      </c>
    </row>
    <row r="180" spans="1:7" x14ac:dyDescent="0.25">
      <c r="A180" s="27">
        <v>7</v>
      </c>
      <c r="B180" s="27">
        <v>18</v>
      </c>
      <c r="C180">
        <v>4.5999999999999996</v>
      </c>
      <c r="D180">
        <f t="shared" si="6"/>
        <v>200</v>
      </c>
      <c r="F180">
        <f t="shared" si="7"/>
        <v>7</v>
      </c>
      <c r="G180">
        <f t="shared" si="8"/>
        <v>18</v>
      </c>
    </row>
    <row r="181" spans="1:7" x14ac:dyDescent="0.25">
      <c r="A181" s="27">
        <v>7</v>
      </c>
      <c r="B181" s="27">
        <v>19</v>
      </c>
      <c r="C181">
        <v>6.7</v>
      </c>
      <c r="D181">
        <f t="shared" si="6"/>
        <v>201</v>
      </c>
      <c r="F181">
        <f t="shared" si="7"/>
        <v>7</v>
      </c>
      <c r="G181">
        <f t="shared" si="8"/>
        <v>19</v>
      </c>
    </row>
    <row r="182" spans="1:7" x14ac:dyDescent="0.25">
      <c r="A182" s="27">
        <v>7</v>
      </c>
      <c r="B182" s="27">
        <v>20</v>
      </c>
      <c r="C182">
        <v>8.1</v>
      </c>
      <c r="D182">
        <f t="shared" si="6"/>
        <v>202</v>
      </c>
      <c r="F182">
        <f t="shared" si="7"/>
        <v>7</v>
      </c>
      <c r="G182">
        <f t="shared" si="8"/>
        <v>20</v>
      </c>
    </row>
    <row r="183" spans="1:7" x14ac:dyDescent="0.25">
      <c r="A183" s="27">
        <v>7</v>
      </c>
      <c r="B183" s="27">
        <v>21</v>
      </c>
      <c r="C183">
        <v>10.4</v>
      </c>
      <c r="D183">
        <f t="shared" si="6"/>
        <v>203</v>
      </c>
      <c r="F183">
        <f t="shared" si="7"/>
        <v>7</v>
      </c>
      <c r="G183">
        <f t="shared" si="8"/>
        <v>21</v>
      </c>
    </row>
    <row r="184" spans="1:7" x14ac:dyDescent="0.25">
      <c r="A184" s="27">
        <v>7</v>
      </c>
      <c r="B184" s="27">
        <v>22</v>
      </c>
      <c r="C184">
        <v>7.8</v>
      </c>
      <c r="D184">
        <f t="shared" si="6"/>
        <v>204</v>
      </c>
      <c r="F184">
        <f t="shared" si="7"/>
        <v>7</v>
      </c>
      <c r="G184">
        <f t="shared" si="8"/>
        <v>22</v>
      </c>
    </row>
    <row r="185" spans="1:7" x14ac:dyDescent="0.25">
      <c r="A185" s="27">
        <v>7</v>
      </c>
      <c r="B185" s="27">
        <v>23</v>
      </c>
      <c r="C185">
        <v>4.2</v>
      </c>
      <c r="D185">
        <f t="shared" si="6"/>
        <v>205</v>
      </c>
      <c r="F185">
        <f t="shared" si="7"/>
        <v>7</v>
      </c>
      <c r="G185">
        <f t="shared" si="8"/>
        <v>23</v>
      </c>
    </row>
    <row r="186" spans="1:7" x14ac:dyDescent="0.25">
      <c r="A186" s="27">
        <v>7</v>
      </c>
      <c r="B186" s="27">
        <v>24</v>
      </c>
      <c r="C186">
        <v>9.5</v>
      </c>
      <c r="D186">
        <f t="shared" si="6"/>
        <v>206</v>
      </c>
      <c r="F186">
        <f t="shared" si="7"/>
        <v>7</v>
      </c>
      <c r="G186">
        <f t="shared" si="8"/>
        <v>24</v>
      </c>
    </row>
    <row r="187" spans="1:7" x14ac:dyDescent="0.25">
      <c r="A187" s="27">
        <v>7</v>
      </c>
      <c r="B187" s="27">
        <v>25</v>
      </c>
      <c r="C187">
        <v>6.2</v>
      </c>
      <c r="D187">
        <f t="shared" si="6"/>
        <v>207</v>
      </c>
      <c r="F187">
        <f t="shared" si="7"/>
        <v>7</v>
      </c>
      <c r="G187">
        <f t="shared" si="8"/>
        <v>25</v>
      </c>
    </row>
    <row r="188" spans="1:7" x14ac:dyDescent="0.25">
      <c r="A188" s="27">
        <v>7</v>
      </c>
      <c r="B188" s="27">
        <v>26</v>
      </c>
      <c r="C188">
        <v>10.7</v>
      </c>
      <c r="D188">
        <f t="shared" si="6"/>
        <v>208</v>
      </c>
      <c r="F188">
        <f t="shared" si="7"/>
        <v>8</v>
      </c>
      <c r="G188">
        <f t="shared" si="8"/>
        <v>0</v>
      </c>
    </row>
    <row r="189" spans="1:7" x14ac:dyDescent="0.25">
      <c r="A189" s="27">
        <v>8</v>
      </c>
      <c r="B189" s="27">
        <v>8</v>
      </c>
      <c r="C189">
        <v>0</v>
      </c>
      <c r="D189">
        <f t="shared" si="6"/>
        <v>216</v>
      </c>
      <c r="F189">
        <f t="shared" si="7"/>
        <v>8</v>
      </c>
      <c r="G189">
        <f t="shared" si="8"/>
        <v>8</v>
      </c>
    </row>
    <row r="190" spans="1:7" x14ac:dyDescent="0.25">
      <c r="A190" s="27">
        <v>8</v>
      </c>
      <c r="B190" s="27">
        <v>9</v>
      </c>
      <c r="C190">
        <v>4.8</v>
      </c>
      <c r="D190">
        <f t="shared" si="6"/>
        <v>217</v>
      </c>
      <c r="F190">
        <f t="shared" si="7"/>
        <v>8</v>
      </c>
      <c r="G190">
        <f t="shared" si="8"/>
        <v>9</v>
      </c>
    </row>
    <row r="191" spans="1:7" x14ac:dyDescent="0.25">
      <c r="A191" s="27">
        <v>8</v>
      </c>
      <c r="B191" s="27">
        <v>10</v>
      </c>
      <c r="C191">
        <v>11.9</v>
      </c>
      <c r="D191">
        <f t="shared" si="6"/>
        <v>218</v>
      </c>
      <c r="F191">
        <f t="shared" si="7"/>
        <v>8</v>
      </c>
      <c r="G191">
        <f t="shared" si="8"/>
        <v>10</v>
      </c>
    </row>
    <row r="192" spans="1:7" x14ac:dyDescent="0.25">
      <c r="A192" s="27">
        <v>8</v>
      </c>
      <c r="B192" s="27">
        <v>11</v>
      </c>
      <c r="C192">
        <v>4.7</v>
      </c>
      <c r="D192">
        <f t="shared" si="6"/>
        <v>219</v>
      </c>
      <c r="F192">
        <f t="shared" si="7"/>
        <v>8</v>
      </c>
      <c r="G192">
        <f t="shared" si="8"/>
        <v>11</v>
      </c>
    </row>
    <row r="193" spans="1:7" x14ac:dyDescent="0.25">
      <c r="A193" s="27">
        <v>8</v>
      </c>
      <c r="B193" s="27">
        <v>12</v>
      </c>
      <c r="C193">
        <v>0.6</v>
      </c>
      <c r="D193">
        <f t="shared" si="6"/>
        <v>220</v>
      </c>
      <c r="F193">
        <f t="shared" si="7"/>
        <v>8</v>
      </c>
      <c r="G193">
        <f t="shared" si="8"/>
        <v>12</v>
      </c>
    </row>
    <row r="194" spans="1:7" x14ac:dyDescent="0.25">
      <c r="A194" s="27">
        <v>8</v>
      </c>
      <c r="B194" s="27">
        <v>13</v>
      </c>
      <c r="C194">
        <v>7.6</v>
      </c>
      <c r="D194">
        <f t="shared" ref="D194:D257" si="9">A194*26+B194</f>
        <v>221</v>
      </c>
      <c r="F194">
        <f t="shared" ref="F194:F257" si="10">QUOTIENT(D194,26)</f>
        <v>8</v>
      </c>
      <c r="G194">
        <f t="shared" ref="G194:G257" si="11">MOD(D194,26)</f>
        <v>13</v>
      </c>
    </row>
    <row r="195" spans="1:7" x14ac:dyDescent="0.25">
      <c r="A195" s="27">
        <v>8</v>
      </c>
      <c r="B195" s="27">
        <v>14</v>
      </c>
      <c r="C195">
        <v>7.8</v>
      </c>
      <c r="D195">
        <f t="shared" si="9"/>
        <v>222</v>
      </c>
      <c r="F195">
        <f t="shared" si="10"/>
        <v>8</v>
      </c>
      <c r="G195">
        <f t="shared" si="11"/>
        <v>14</v>
      </c>
    </row>
    <row r="196" spans="1:7" x14ac:dyDescent="0.25">
      <c r="A196" s="27">
        <v>8</v>
      </c>
      <c r="B196" s="27">
        <v>15</v>
      </c>
      <c r="C196">
        <v>6.6</v>
      </c>
      <c r="D196">
        <f t="shared" si="9"/>
        <v>223</v>
      </c>
      <c r="F196">
        <f t="shared" si="10"/>
        <v>8</v>
      </c>
      <c r="G196">
        <f t="shared" si="11"/>
        <v>15</v>
      </c>
    </row>
    <row r="197" spans="1:7" x14ac:dyDescent="0.25">
      <c r="A197" s="27">
        <v>8</v>
      </c>
      <c r="B197" s="27">
        <v>16</v>
      </c>
      <c r="C197">
        <v>7.2</v>
      </c>
      <c r="D197">
        <f t="shared" si="9"/>
        <v>224</v>
      </c>
      <c r="F197">
        <f t="shared" si="10"/>
        <v>8</v>
      </c>
      <c r="G197">
        <f t="shared" si="11"/>
        <v>16</v>
      </c>
    </row>
    <row r="198" spans="1:7" x14ac:dyDescent="0.25">
      <c r="A198" s="27">
        <v>8</v>
      </c>
      <c r="B198" s="27">
        <v>17</v>
      </c>
      <c r="C198">
        <v>5.9</v>
      </c>
      <c r="D198">
        <f t="shared" si="9"/>
        <v>225</v>
      </c>
      <c r="F198">
        <f t="shared" si="10"/>
        <v>8</v>
      </c>
      <c r="G198">
        <f t="shared" si="11"/>
        <v>17</v>
      </c>
    </row>
    <row r="199" spans="1:7" x14ac:dyDescent="0.25">
      <c r="A199" s="27">
        <v>8</v>
      </c>
      <c r="B199" s="27">
        <v>18</v>
      </c>
      <c r="C199">
        <v>5.4</v>
      </c>
      <c r="D199">
        <f t="shared" si="9"/>
        <v>226</v>
      </c>
      <c r="F199">
        <f t="shared" si="10"/>
        <v>8</v>
      </c>
      <c r="G199">
        <f t="shared" si="11"/>
        <v>18</v>
      </c>
    </row>
    <row r="200" spans="1:7" x14ac:dyDescent="0.25">
      <c r="A200" s="27">
        <v>8</v>
      </c>
      <c r="B200" s="27">
        <v>19</v>
      </c>
      <c r="C200">
        <v>1</v>
      </c>
      <c r="D200">
        <f t="shared" si="9"/>
        <v>227</v>
      </c>
      <c r="F200">
        <f t="shared" si="10"/>
        <v>8</v>
      </c>
      <c r="G200">
        <f t="shared" si="11"/>
        <v>19</v>
      </c>
    </row>
    <row r="201" spans="1:7" x14ac:dyDescent="0.25">
      <c r="A201" s="27">
        <v>8</v>
      </c>
      <c r="B201" s="27">
        <v>20</v>
      </c>
      <c r="C201">
        <v>8.5</v>
      </c>
      <c r="D201">
        <f t="shared" si="9"/>
        <v>228</v>
      </c>
      <c r="F201">
        <f t="shared" si="10"/>
        <v>8</v>
      </c>
      <c r="G201">
        <f t="shared" si="11"/>
        <v>20</v>
      </c>
    </row>
    <row r="202" spans="1:7" x14ac:dyDescent="0.25">
      <c r="A202" s="27">
        <v>8</v>
      </c>
      <c r="B202" s="27">
        <v>21</v>
      </c>
      <c r="C202">
        <v>10.3</v>
      </c>
      <c r="D202">
        <f t="shared" si="9"/>
        <v>229</v>
      </c>
      <c r="F202">
        <f t="shared" si="10"/>
        <v>8</v>
      </c>
      <c r="G202">
        <f t="shared" si="11"/>
        <v>21</v>
      </c>
    </row>
    <row r="203" spans="1:7" x14ac:dyDescent="0.25">
      <c r="A203" s="27">
        <v>8</v>
      </c>
      <c r="B203" s="27">
        <v>22</v>
      </c>
      <c r="C203">
        <v>7.8</v>
      </c>
      <c r="D203">
        <f t="shared" si="9"/>
        <v>230</v>
      </c>
      <c r="F203">
        <f t="shared" si="10"/>
        <v>8</v>
      </c>
      <c r="G203">
        <f t="shared" si="11"/>
        <v>22</v>
      </c>
    </row>
    <row r="204" spans="1:7" x14ac:dyDescent="0.25">
      <c r="A204" s="27">
        <v>8</v>
      </c>
      <c r="B204" s="27">
        <v>23</v>
      </c>
      <c r="C204">
        <v>11.5</v>
      </c>
      <c r="D204">
        <f t="shared" si="9"/>
        <v>231</v>
      </c>
      <c r="F204">
        <f t="shared" si="10"/>
        <v>8</v>
      </c>
      <c r="G204">
        <f t="shared" si="11"/>
        <v>23</v>
      </c>
    </row>
    <row r="205" spans="1:7" x14ac:dyDescent="0.25">
      <c r="A205" s="27">
        <v>8</v>
      </c>
      <c r="B205" s="27">
        <v>24</v>
      </c>
      <c r="C205">
        <v>9.5</v>
      </c>
      <c r="D205">
        <f t="shared" si="9"/>
        <v>232</v>
      </c>
      <c r="F205">
        <f t="shared" si="10"/>
        <v>8</v>
      </c>
      <c r="G205">
        <f t="shared" si="11"/>
        <v>24</v>
      </c>
    </row>
    <row r="206" spans="1:7" x14ac:dyDescent="0.25">
      <c r="A206" s="27">
        <v>8</v>
      </c>
      <c r="B206" s="27">
        <v>25</v>
      </c>
      <c r="C206">
        <v>2.8</v>
      </c>
      <c r="D206">
        <f t="shared" si="9"/>
        <v>233</v>
      </c>
      <c r="F206">
        <f t="shared" si="10"/>
        <v>8</v>
      </c>
      <c r="G206">
        <f t="shared" si="11"/>
        <v>25</v>
      </c>
    </row>
    <row r="207" spans="1:7" x14ac:dyDescent="0.25">
      <c r="A207" s="27">
        <v>8</v>
      </c>
      <c r="B207" s="27">
        <v>26</v>
      </c>
      <c r="C207">
        <v>14.1</v>
      </c>
      <c r="D207">
        <f t="shared" si="9"/>
        <v>234</v>
      </c>
      <c r="F207">
        <f t="shared" si="10"/>
        <v>9</v>
      </c>
      <c r="G207">
        <f t="shared" si="11"/>
        <v>0</v>
      </c>
    </row>
    <row r="208" spans="1:7" x14ac:dyDescent="0.25">
      <c r="A208" s="27">
        <v>9</v>
      </c>
      <c r="B208" s="27">
        <v>9</v>
      </c>
      <c r="C208">
        <v>0</v>
      </c>
      <c r="D208">
        <f t="shared" si="9"/>
        <v>243</v>
      </c>
      <c r="F208">
        <f t="shared" si="10"/>
        <v>9</v>
      </c>
      <c r="G208">
        <f t="shared" si="11"/>
        <v>9</v>
      </c>
    </row>
    <row r="209" spans="1:7" x14ac:dyDescent="0.25">
      <c r="A209" s="27">
        <v>9</v>
      </c>
      <c r="B209" s="27">
        <v>10</v>
      </c>
      <c r="C209">
        <v>9.4</v>
      </c>
      <c r="D209">
        <f t="shared" si="9"/>
        <v>244</v>
      </c>
      <c r="F209">
        <f t="shared" si="10"/>
        <v>9</v>
      </c>
      <c r="G209">
        <f t="shared" si="11"/>
        <v>10</v>
      </c>
    </row>
    <row r="210" spans="1:7" x14ac:dyDescent="0.25">
      <c r="A210" s="27">
        <v>9</v>
      </c>
      <c r="B210" s="27">
        <v>11</v>
      </c>
      <c r="C210">
        <v>1.1000000000000001</v>
      </c>
      <c r="D210">
        <f t="shared" si="9"/>
        <v>245</v>
      </c>
      <c r="F210">
        <f t="shared" si="10"/>
        <v>9</v>
      </c>
      <c r="G210">
        <f t="shared" si="11"/>
        <v>11</v>
      </c>
    </row>
    <row r="211" spans="1:7" x14ac:dyDescent="0.25">
      <c r="A211" s="27">
        <v>9</v>
      </c>
      <c r="B211" s="27">
        <v>12</v>
      </c>
      <c r="C211">
        <v>5.0999999999999996</v>
      </c>
      <c r="D211">
        <f t="shared" si="9"/>
        <v>246</v>
      </c>
      <c r="F211">
        <f t="shared" si="10"/>
        <v>9</v>
      </c>
      <c r="G211">
        <f t="shared" si="11"/>
        <v>12</v>
      </c>
    </row>
    <row r="212" spans="1:7" x14ac:dyDescent="0.25">
      <c r="A212" s="27">
        <v>9</v>
      </c>
      <c r="B212" s="27">
        <v>13</v>
      </c>
      <c r="C212">
        <v>4.5999999999999996</v>
      </c>
      <c r="D212">
        <f t="shared" si="9"/>
        <v>247</v>
      </c>
      <c r="F212">
        <f t="shared" si="10"/>
        <v>9</v>
      </c>
      <c r="G212">
        <f t="shared" si="11"/>
        <v>13</v>
      </c>
    </row>
    <row r="213" spans="1:7" x14ac:dyDescent="0.25">
      <c r="A213" s="27">
        <v>9</v>
      </c>
      <c r="B213" s="27">
        <v>14</v>
      </c>
      <c r="C213">
        <v>3.7</v>
      </c>
      <c r="D213">
        <f t="shared" si="9"/>
        <v>248</v>
      </c>
      <c r="F213">
        <f t="shared" si="10"/>
        <v>9</v>
      </c>
      <c r="G213">
        <f t="shared" si="11"/>
        <v>14</v>
      </c>
    </row>
    <row r="214" spans="1:7" x14ac:dyDescent="0.25">
      <c r="A214" s="27">
        <v>9</v>
      </c>
      <c r="B214" s="27">
        <v>15</v>
      </c>
      <c r="C214">
        <v>4</v>
      </c>
      <c r="D214">
        <f t="shared" si="9"/>
        <v>249</v>
      </c>
      <c r="F214">
        <f t="shared" si="10"/>
        <v>9</v>
      </c>
      <c r="G214">
        <f t="shared" si="11"/>
        <v>15</v>
      </c>
    </row>
    <row r="215" spans="1:7" x14ac:dyDescent="0.25">
      <c r="A215" s="27">
        <v>9</v>
      </c>
      <c r="B215" s="27">
        <v>16</v>
      </c>
      <c r="C215">
        <v>6.7</v>
      </c>
      <c r="D215">
        <f t="shared" si="9"/>
        <v>250</v>
      </c>
      <c r="F215">
        <f t="shared" si="10"/>
        <v>9</v>
      </c>
      <c r="G215">
        <f t="shared" si="11"/>
        <v>16</v>
      </c>
    </row>
    <row r="216" spans="1:7" x14ac:dyDescent="0.25">
      <c r="A216" s="27">
        <v>9</v>
      </c>
      <c r="B216" s="27">
        <v>17</v>
      </c>
      <c r="C216">
        <v>2.2999999999999998</v>
      </c>
      <c r="D216">
        <f t="shared" si="9"/>
        <v>251</v>
      </c>
      <c r="F216">
        <f t="shared" si="10"/>
        <v>9</v>
      </c>
      <c r="G216">
        <f t="shared" si="11"/>
        <v>17</v>
      </c>
    </row>
    <row r="217" spans="1:7" x14ac:dyDescent="0.25">
      <c r="A217" s="27">
        <v>9</v>
      </c>
      <c r="B217" s="27">
        <v>18</v>
      </c>
      <c r="C217">
        <v>1.8</v>
      </c>
      <c r="D217">
        <f t="shared" si="9"/>
        <v>252</v>
      </c>
      <c r="F217">
        <f t="shared" si="10"/>
        <v>9</v>
      </c>
      <c r="G217">
        <f t="shared" si="11"/>
        <v>18</v>
      </c>
    </row>
    <row r="218" spans="1:7" x14ac:dyDescent="0.25">
      <c r="A218" s="27">
        <v>9</v>
      </c>
      <c r="B218" s="27">
        <v>19</v>
      </c>
      <c r="C218">
        <v>4.0999999999999996</v>
      </c>
      <c r="D218">
        <f t="shared" si="9"/>
        <v>253</v>
      </c>
      <c r="F218">
        <f t="shared" si="10"/>
        <v>9</v>
      </c>
      <c r="G218">
        <f t="shared" si="11"/>
        <v>19</v>
      </c>
    </row>
    <row r="219" spans="1:7" x14ac:dyDescent="0.25">
      <c r="A219" s="27">
        <v>9</v>
      </c>
      <c r="B219" s="27">
        <v>20</v>
      </c>
      <c r="C219">
        <v>3.8</v>
      </c>
      <c r="D219">
        <f t="shared" si="9"/>
        <v>254</v>
      </c>
      <c r="F219">
        <f t="shared" si="10"/>
        <v>9</v>
      </c>
      <c r="G219">
        <f t="shared" si="11"/>
        <v>20</v>
      </c>
    </row>
    <row r="220" spans="1:7" x14ac:dyDescent="0.25">
      <c r="A220" s="27">
        <v>9</v>
      </c>
      <c r="B220" s="27">
        <v>21</v>
      </c>
      <c r="C220">
        <v>5.8</v>
      </c>
      <c r="D220">
        <f t="shared" si="9"/>
        <v>255</v>
      </c>
      <c r="F220">
        <f t="shared" si="10"/>
        <v>9</v>
      </c>
      <c r="G220">
        <f t="shared" si="11"/>
        <v>21</v>
      </c>
    </row>
    <row r="221" spans="1:7" x14ac:dyDescent="0.25">
      <c r="A221" s="27">
        <v>9</v>
      </c>
      <c r="B221" s="27">
        <v>22</v>
      </c>
      <c r="C221">
        <v>4.3</v>
      </c>
      <c r="D221">
        <f t="shared" si="9"/>
        <v>256</v>
      </c>
      <c r="F221">
        <f t="shared" si="10"/>
        <v>9</v>
      </c>
      <c r="G221">
        <f t="shared" si="11"/>
        <v>22</v>
      </c>
    </row>
    <row r="222" spans="1:7" x14ac:dyDescent="0.25">
      <c r="A222" s="27">
        <v>9</v>
      </c>
      <c r="B222" s="27">
        <v>23</v>
      </c>
      <c r="C222">
        <v>7.8</v>
      </c>
      <c r="D222">
        <f t="shared" si="9"/>
        <v>257</v>
      </c>
      <c r="F222">
        <f t="shared" si="10"/>
        <v>9</v>
      </c>
      <c r="G222">
        <f t="shared" si="11"/>
        <v>23</v>
      </c>
    </row>
    <row r="223" spans="1:7" x14ac:dyDescent="0.25">
      <c r="A223" s="27">
        <v>9</v>
      </c>
      <c r="B223" s="27">
        <v>24</v>
      </c>
      <c r="C223">
        <v>4.8</v>
      </c>
      <c r="D223">
        <f t="shared" si="9"/>
        <v>258</v>
      </c>
      <c r="F223">
        <f t="shared" si="10"/>
        <v>9</v>
      </c>
      <c r="G223">
        <f t="shared" si="11"/>
        <v>24</v>
      </c>
    </row>
    <row r="224" spans="1:7" x14ac:dyDescent="0.25">
      <c r="A224" s="27">
        <v>9</v>
      </c>
      <c r="B224" s="27">
        <v>25</v>
      </c>
      <c r="C224">
        <v>3.2</v>
      </c>
      <c r="D224">
        <f t="shared" si="9"/>
        <v>259</v>
      </c>
      <c r="F224">
        <f t="shared" si="10"/>
        <v>9</v>
      </c>
      <c r="G224">
        <f t="shared" si="11"/>
        <v>25</v>
      </c>
    </row>
    <row r="225" spans="1:7" x14ac:dyDescent="0.25">
      <c r="A225" s="27">
        <v>9</v>
      </c>
      <c r="B225" s="27">
        <v>26</v>
      </c>
      <c r="C225">
        <v>6</v>
      </c>
      <c r="D225">
        <f t="shared" si="9"/>
        <v>260</v>
      </c>
      <c r="F225">
        <f t="shared" si="10"/>
        <v>10</v>
      </c>
      <c r="G225">
        <f t="shared" si="11"/>
        <v>0</v>
      </c>
    </row>
    <row r="226" spans="1:7" x14ac:dyDescent="0.25">
      <c r="A226" s="27">
        <v>10</v>
      </c>
      <c r="B226" s="27">
        <v>10</v>
      </c>
      <c r="C226">
        <v>0</v>
      </c>
      <c r="D226">
        <f t="shared" si="9"/>
        <v>270</v>
      </c>
      <c r="F226">
        <f t="shared" si="10"/>
        <v>10</v>
      </c>
      <c r="G226">
        <f t="shared" si="11"/>
        <v>10</v>
      </c>
    </row>
    <row r="227" spans="1:7" x14ac:dyDescent="0.25">
      <c r="A227" s="27">
        <v>10</v>
      </c>
      <c r="B227" s="27">
        <v>11</v>
      </c>
      <c r="C227">
        <v>7.3</v>
      </c>
      <c r="D227">
        <f t="shared" si="9"/>
        <v>271</v>
      </c>
      <c r="F227">
        <f t="shared" si="10"/>
        <v>10</v>
      </c>
      <c r="G227">
        <f t="shared" si="11"/>
        <v>11</v>
      </c>
    </row>
    <row r="228" spans="1:7" x14ac:dyDescent="0.25">
      <c r="A228" s="27">
        <v>10</v>
      </c>
      <c r="B228" s="27">
        <v>12</v>
      </c>
      <c r="C228">
        <v>12</v>
      </c>
      <c r="D228">
        <f t="shared" si="9"/>
        <v>272</v>
      </c>
      <c r="F228">
        <f t="shared" si="10"/>
        <v>10</v>
      </c>
      <c r="G228">
        <f t="shared" si="11"/>
        <v>12</v>
      </c>
    </row>
    <row r="229" spans="1:7" x14ac:dyDescent="0.25">
      <c r="A229" s="27">
        <v>10</v>
      </c>
      <c r="B229" s="27">
        <v>13</v>
      </c>
      <c r="C229">
        <v>4.9000000000000004</v>
      </c>
      <c r="D229">
        <f t="shared" si="9"/>
        <v>273</v>
      </c>
      <c r="F229">
        <f t="shared" si="10"/>
        <v>10</v>
      </c>
      <c r="G229">
        <f t="shared" si="11"/>
        <v>13</v>
      </c>
    </row>
    <row r="230" spans="1:7" x14ac:dyDescent="0.25">
      <c r="A230" s="27">
        <v>10</v>
      </c>
      <c r="B230" s="27">
        <v>14</v>
      </c>
      <c r="C230">
        <v>5.2</v>
      </c>
      <c r="D230">
        <f t="shared" si="9"/>
        <v>274</v>
      </c>
      <c r="F230">
        <f t="shared" si="10"/>
        <v>10</v>
      </c>
      <c r="G230">
        <f t="shared" si="11"/>
        <v>14</v>
      </c>
    </row>
    <row r="231" spans="1:7" x14ac:dyDescent="0.25">
      <c r="A231" s="27">
        <v>10</v>
      </c>
      <c r="B231" s="27">
        <v>15</v>
      </c>
      <c r="C231">
        <v>5.4</v>
      </c>
      <c r="D231">
        <f t="shared" si="9"/>
        <v>275</v>
      </c>
      <c r="F231">
        <f t="shared" si="10"/>
        <v>10</v>
      </c>
      <c r="G231">
        <f t="shared" si="11"/>
        <v>15</v>
      </c>
    </row>
    <row r="232" spans="1:7" x14ac:dyDescent="0.25">
      <c r="A232" s="27">
        <v>10</v>
      </c>
      <c r="B232" s="27">
        <v>16</v>
      </c>
      <c r="C232">
        <v>8.1</v>
      </c>
      <c r="D232">
        <f t="shared" si="9"/>
        <v>276</v>
      </c>
      <c r="F232">
        <f t="shared" si="10"/>
        <v>10</v>
      </c>
      <c r="G232">
        <f t="shared" si="11"/>
        <v>16</v>
      </c>
    </row>
    <row r="233" spans="1:7" x14ac:dyDescent="0.25">
      <c r="A233" s="27">
        <v>10</v>
      </c>
      <c r="B233" s="27">
        <v>17</v>
      </c>
      <c r="C233">
        <v>6.2</v>
      </c>
      <c r="D233">
        <f t="shared" si="9"/>
        <v>277</v>
      </c>
      <c r="F233">
        <f t="shared" si="10"/>
        <v>10</v>
      </c>
      <c r="G233">
        <f t="shared" si="11"/>
        <v>17</v>
      </c>
    </row>
    <row r="234" spans="1:7" x14ac:dyDescent="0.25">
      <c r="A234" s="27">
        <v>10</v>
      </c>
      <c r="B234" s="27">
        <v>18</v>
      </c>
      <c r="C234">
        <v>6.9</v>
      </c>
      <c r="D234">
        <f t="shared" si="9"/>
        <v>278</v>
      </c>
      <c r="F234">
        <f t="shared" si="10"/>
        <v>10</v>
      </c>
      <c r="G234">
        <f t="shared" si="11"/>
        <v>18</v>
      </c>
    </row>
    <row r="235" spans="1:7" x14ac:dyDescent="0.25">
      <c r="A235" s="27">
        <v>10</v>
      </c>
      <c r="B235" s="27">
        <v>19</v>
      </c>
      <c r="C235">
        <v>11.5</v>
      </c>
      <c r="D235">
        <f t="shared" si="9"/>
        <v>279</v>
      </c>
      <c r="F235">
        <f t="shared" si="10"/>
        <v>10</v>
      </c>
      <c r="G235">
        <f t="shared" si="11"/>
        <v>19</v>
      </c>
    </row>
    <row r="236" spans="1:7" x14ac:dyDescent="0.25">
      <c r="A236" s="27">
        <v>10</v>
      </c>
      <c r="B236" s="27">
        <v>20</v>
      </c>
      <c r="C236">
        <v>6.9</v>
      </c>
      <c r="D236">
        <f t="shared" si="9"/>
        <v>280</v>
      </c>
      <c r="F236">
        <f t="shared" si="10"/>
        <v>10</v>
      </c>
      <c r="G236">
        <f t="shared" si="11"/>
        <v>20</v>
      </c>
    </row>
    <row r="237" spans="1:7" x14ac:dyDescent="0.25">
      <c r="A237" s="27">
        <v>10</v>
      </c>
      <c r="B237" s="27">
        <v>21</v>
      </c>
      <c r="C237">
        <v>8.3000000000000007</v>
      </c>
      <c r="D237">
        <f t="shared" si="9"/>
        <v>281</v>
      </c>
      <c r="F237">
        <f t="shared" si="10"/>
        <v>10</v>
      </c>
      <c r="G237">
        <f t="shared" si="11"/>
        <v>21</v>
      </c>
    </row>
    <row r="238" spans="1:7" x14ac:dyDescent="0.25">
      <c r="A238" s="27">
        <v>10</v>
      </c>
      <c r="B238" s="27">
        <v>22</v>
      </c>
      <c r="C238">
        <v>4.0999999999999996</v>
      </c>
      <c r="D238">
        <f t="shared" si="9"/>
        <v>282</v>
      </c>
      <c r="F238">
        <f t="shared" si="10"/>
        <v>10</v>
      </c>
      <c r="G238">
        <f t="shared" si="11"/>
        <v>22</v>
      </c>
    </row>
    <row r="239" spans="1:7" x14ac:dyDescent="0.25">
      <c r="A239" s="27">
        <v>10</v>
      </c>
      <c r="B239" s="27">
        <v>23</v>
      </c>
      <c r="C239">
        <v>0.4</v>
      </c>
      <c r="D239">
        <f t="shared" si="9"/>
        <v>283</v>
      </c>
      <c r="F239">
        <f t="shared" si="10"/>
        <v>10</v>
      </c>
      <c r="G239">
        <f t="shared" si="11"/>
        <v>23</v>
      </c>
    </row>
    <row r="240" spans="1:7" x14ac:dyDescent="0.25">
      <c r="A240" s="27">
        <v>10</v>
      </c>
      <c r="B240" s="27">
        <v>24</v>
      </c>
      <c r="C240">
        <v>4.9000000000000004</v>
      </c>
      <c r="D240">
        <f t="shared" si="9"/>
        <v>284</v>
      </c>
      <c r="F240">
        <f t="shared" si="10"/>
        <v>10</v>
      </c>
      <c r="G240">
        <f t="shared" si="11"/>
        <v>24</v>
      </c>
    </row>
    <row r="241" spans="1:7" x14ac:dyDescent="0.25">
      <c r="A241" s="27">
        <v>10</v>
      </c>
      <c r="B241" s="27">
        <v>25</v>
      </c>
      <c r="C241">
        <v>11</v>
      </c>
      <c r="D241">
        <f t="shared" si="9"/>
        <v>285</v>
      </c>
      <c r="F241">
        <f t="shared" si="10"/>
        <v>10</v>
      </c>
      <c r="G241">
        <f t="shared" si="11"/>
        <v>25</v>
      </c>
    </row>
    <row r="242" spans="1:7" x14ac:dyDescent="0.25">
      <c r="A242" s="27">
        <v>10</v>
      </c>
      <c r="B242" s="27">
        <v>26</v>
      </c>
      <c r="C242">
        <v>6.8</v>
      </c>
      <c r="D242">
        <f t="shared" si="9"/>
        <v>286</v>
      </c>
      <c r="F242">
        <f t="shared" si="10"/>
        <v>11</v>
      </c>
      <c r="G242">
        <f t="shared" si="11"/>
        <v>0</v>
      </c>
    </row>
    <row r="243" spans="1:7" x14ac:dyDescent="0.25">
      <c r="A243" s="27">
        <v>11</v>
      </c>
      <c r="B243" s="27">
        <v>11</v>
      </c>
      <c r="C243">
        <v>0</v>
      </c>
      <c r="D243">
        <f t="shared" si="9"/>
        <v>297</v>
      </c>
      <c r="F243">
        <f t="shared" si="10"/>
        <v>11</v>
      </c>
      <c r="G243">
        <f t="shared" si="11"/>
        <v>11</v>
      </c>
    </row>
    <row r="244" spans="1:7" x14ac:dyDescent="0.25">
      <c r="A244" s="27">
        <v>11</v>
      </c>
      <c r="B244" s="27">
        <v>12</v>
      </c>
      <c r="C244">
        <v>4.7</v>
      </c>
      <c r="D244">
        <f t="shared" si="9"/>
        <v>298</v>
      </c>
      <c r="F244">
        <f t="shared" si="10"/>
        <v>11</v>
      </c>
      <c r="G244">
        <f t="shared" si="11"/>
        <v>12</v>
      </c>
    </row>
    <row r="245" spans="1:7" x14ac:dyDescent="0.25">
      <c r="A245" s="27">
        <v>11</v>
      </c>
      <c r="B245" s="27">
        <v>13</v>
      </c>
      <c r="C245">
        <v>3.5</v>
      </c>
      <c r="D245">
        <f t="shared" si="9"/>
        <v>299</v>
      </c>
      <c r="F245">
        <f t="shared" si="10"/>
        <v>11</v>
      </c>
      <c r="G245">
        <f t="shared" si="11"/>
        <v>13</v>
      </c>
    </row>
    <row r="246" spans="1:7" x14ac:dyDescent="0.25">
      <c r="A246" s="27">
        <v>11</v>
      </c>
      <c r="B246" s="27">
        <v>14</v>
      </c>
      <c r="C246">
        <v>2.6</v>
      </c>
      <c r="D246">
        <f t="shared" si="9"/>
        <v>300</v>
      </c>
      <c r="F246">
        <f t="shared" si="10"/>
        <v>11</v>
      </c>
      <c r="G246">
        <f t="shared" si="11"/>
        <v>14</v>
      </c>
    </row>
    <row r="247" spans="1:7" x14ac:dyDescent="0.25">
      <c r="A247" s="27">
        <v>11</v>
      </c>
      <c r="B247" s="27">
        <v>15</v>
      </c>
      <c r="C247">
        <v>2.9</v>
      </c>
      <c r="D247">
        <f t="shared" si="9"/>
        <v>301</v>
      </c>
      <c r="F247">
        <f t="shared" si="10"/>
        <v>11</v>
      </c>
      <c r="G247">
        <f t="shared" si="11"/>
        <v>15</v>
      </c>
    </row>
    <row r="248" spans="1:7" x14ac:dyDescent="0.25">
      <c r="A248" s="27">
        <v>11</v>
      </c>
      <c r="B248" s="27">
        <v>16</v>
      </c>
      <c r="C248">
        <v>6.3</v>
      </c>
      <c r="D248">
        <f t="shared" si="9"/>
        <v>302</v>
      </c>
      <c r="F248">
        <f t="shared" si="10"/>
        <v>11</v>
      </c>
      <c r="G248">
        <f t="shared" si="11"/>
        <v>16</v>
      </c>
    </row>
    <row r="249" spans="1:7" x14ac:dyDescent="0.25">
      <c r="A249" s="27">
        <v>11</v>
      </c>
      <c r="B249" s="27">
        <v>17</v>
      </c>
      <c r="C249">
        <v>1.2</v>
      </c>
      <c r="D249">
        <f t="shared" si="9"/>
        <v>303</v>
      </c>
      <c r="F249">
        <f t="shared" si="10"/>
        <v>11</v>
      </c>
      <c r="G249">
        <f t="shared" si="11"/>
        <v>17</v>
      </c>
    </row>
    <row r="250" spans="1:7" x14ac:dyDescent="0.25">
      <c r="A250" s="27">
        <v>11</v>
      </c>
      <c r="B250" s="27">
        <v>18</v>
      </c>
      <c r="C250">
        <v>1</v>
      </c>
      <c r="D250">
        <f t="shared" si="9"/>
        <v>304</v>
      </c>
      <c r="F250">
        <f t="shared" si="10"/>
        <v>11</v>
      </c>
      <c r="G250">
        <f t="shared" si="11"/>
        <v>18</v>
      </c>
    </row>
    <row r="251" spans="1:7" x14ac:dyDescent="0.25">
      <c r="A251" s="27">
        <v>11</v>
      </c>
      <c r="B251" s="27">
        <v>19</v>
      </c>
      <c r="C251">
        <v>3.7</v>
      </c>
      <c r="D251">
        <f t="shared" si="9"/>
        <v>305</v>
      </c>
      <c r="F251">
        <f t="shared" si="10"/>
        <v>11</v>
      </c>
      <c r="G251">
        <f t="shared" si="11"/>
        <v>19</v>
      </c>
    </row>
    <row r="252" spans="1:7" x14ac:dyDescent="0.25">
      <c r="A252" s="27">
        <v>11</v>
      </c>
      <c r="B252" s="27">
        <v>20</v>
      </c>
      <c r="C252">
        <v>4.0999999999999996</v>
      </c>
      <c r="D252">
        <f t="shared" si="9"/>
        <v>306</v>
      </c>
      <c r="F252">
        <f t="shared" si="10"/>
        <v>11</v>
      </c>
      <c r="G252">
        <f t="shared" si="11"/>
        <v>20</v>
      </c>
    </row>
    <row r="253" spans="1:7" x14ac:dyDescent="0.25">
      <c r="A253" s="27">
        <v>11</v>
      </c>
      <c r="B253" s="27">
        <v>21</v>
      </c>
      <c r="C253">
        <v>6.2</v>
      </c>
      <c r="D253">
        <f t="shared" si="9"/>
        <v>307</v>
      </c>
      <c r="F253">
        <f t="shared" si="10"/>
        <v>11</v>
      </c>
      <c r="G253">
        <f t="shared" si="11"/>
        <v>21</v>
      </c>
    </row>
    <row r="254" spans="1:7" x14ac:dyDescent="0.25">
      <c r="A254" s="27">
        <v>11</v>
      </c>
      <c r="B254" s="27">
        <v>22</v>
      </c>
      <c r="C254">
        <v>3.4</v>
      </c>
      <c r="D254">
        <f t="shared" si="9"/>
        <v>308</v>
      </c>
      <c r="F254">
        <f t="shared" si="10"/>
        <v>11</v>
      </c>
      <c r="G254">
        <f t="shared" si="11"/>
        <v>22</v>
      </c>
    </row>
    <row r="255" spans="1:7" x14ac:dyDescent="0.25">
      <c r="A255" s="27">
        <v>11</v>
      </c>
      <c r="B255" s="27">
        <v>23</v>
      </c>
      <c r="C255">
        <v>6.9</v>
      </c>
      <c r="D255">
        <f t="shared" si="9"/>
        <v>309</v>
      </c>
      <c r="F255">
        <f t="shared" si="10"/>
        <v>11</v>
      </c>
      <c r="G255">
        <f t="shared" si="11"/>
        <v>23</v>
      </c>
    </row>
    <row r="256" spans="1:7" x14ac:dyDescent="0.25">
      <c r="A256" s="27">
        <v>11</v>
      </c>
      <c r="B256" s="27">
        <v>24</v>
      </c>
      <c r="C256">
        <v>5.2</v>
      </c>
      <c r="D256">
        <f t="shared" si="9"/>
        <v>310</v>
      </c>
      <c r="F256">
        <f t="shared" si="10"/>
        <v>11</v>
      </c>
      <c r="G256">
        <f t="shared" si="11"/>
        <v>24</v>
      </c>
    </row>
    <row r="257" spans="1:7" x14ac:dyDescent="0.25">
      <c r="A257" s="27">
        <v>11</v>
      </c>
      <c r="B257" s="27">
        <v>25</v>
      </c>
      <c r="C257">
        <v>3.7</v>
      </c>
      <c r="D257">
        <f t="shared" si="9"/>
        <v>311</v>
      </c>
      <c r="F257">
        <f t="shared" si="10"/>
        <v>11</v>
      </c>
      <c r="G257">
        <f t="shared" si="11"/>
        <v>25</v>
      </c>
    </row>
    <row r="258" spans="1:7" x14ac:dyDescent="0.25">
      <c r="A258" s="27">
        <v>11</v>
      </c>
      <c r="B258" s="27">
        <v>26</v>
      </c>
      <c r="C258">
        <v>6.4</v>
      </c>
      <c r="D258">
        <f t="shared" ref="D258:D321" si="12">A258*26+B258</f>
        <v>312</v>
      </c>
      <c r="F258">
        <f t="shared" ref="F258:F321" si="13">QUOTIENT(D258,26)</f>
        <v>12</v>
      </c>
      <c r="G258">
        <f t="shared" ref="G258:G321" si="14">MOD(D258,26)</f>
        <v>0</v>
      </c>
    </row>
    <row r="259" spans="1:7" x14ac:dyDescent="0.25">
      <c r="A259" s="27">
        <v>12</v>
      </c>
      <c r="B259" s="27">
        <v>12</v>
      </c>
      <c r="C259">
        <v>0</v>
      </c>
      <c r="D259">
        <f t="shared" si="12"/>
        <v>324</v>
      </c>
      <c r="F259">
        <f t="shared" si="13"/>
        <v>12</v>
      </c>
      <c r="G259">
        <f t="shared" si="14"/>
        <v>12</v>
      </c>
    </row>
    <row r="260" spans="1:7" x14ac:dyDescent="0.25">
      <c r="A260" s="27">
        <v>12</v>
      </c>
      <c r="B260" s="27">
        <v>13</v>
      </c>
      <c r="C260">
        <v>7.3</v>
      </c>
      <c r="D260">
        <f t="shared" si="12"/>
        <v>325</v>
      </c>
      <c r="F260">
        <f t="shared" si="13"/>
        <v>12</v>
      </c>
      <c r="G260">
        <f t="shared" si="14"/>
        <v>13</v>
      </c>
    </row>
    <row r="261" spans="1:7" x14ac:dyDescent="0.25">
      <c r="A261" s="27">
        <v>12</v>
      </c>
      <c r="B261" s="27">
        <v>14</v>
      </c>
      <c r="C261">
        <v>7.8</v>
      </c>
      <c r="D261">
        <f t="shared" si="12"/>
        <v>326</v>
      </c>
      <c r="F261">
        <f t="shared" si="13"/>
        <v>12</v>
      </c>
      <c r="G261">
        <f t="shared" si="14"/>
        <v>14</v>
      </c>
    </row>
    <row r="262" spans="1:7" x14ac:dyDescent="0.25">
      <c r="A262" s="27">
        <v>12</v>
      </c>
      <c r="B262" s="27">
        <v>15</v>
      </c>
      <c r="C262">
        <v>6.6</v>
      </c>
      <c r="D262">
        <f t="shared" si="12"/>
        <v>327</v>
      </c>
      <c r="F262">
        <f t="shared" si="13"/>
        <v>12</v>
      </c>
      <c r="G262">
        <f t="shared" si="14"/>
        <v>15</v>
      </c>
    </row>
    <row r="263" spans="1:7" x14ac:dyDescent="0.25">
      <c r="A263" s="27">
        <v>12</v>
      </c>
      <c r="B263" s="27">
        <v>16</v>
      </c>
      <c r="C263">
        <v>7.2</v>
      </c>
      <c r="D263">
        <f t="shared" si="12"/>
        <v>328</v>
      </c>
      <c r="F263">
        <f t="shared" si="13"/>
        <v>12</v>
      </c>
      <c r="G263">
        <f t="shared" si="14"/>
        <v>16</v>
      </c>
    </row>
    <row r="264" spans="1:7" x14ac:dyDescent="0.25">
      <c r="A264" s="27">
        <v>12</v>
      </c>
      <c r="B264" s="27">
        <v>17</v>
      </c>
      <c r="C264">
        <v>5.9</v>
      </c>
      <c r="D264">
        <f t="shared" si="12"/>
        <v>329</v>
      </c>
      <c r="F264">
        <f t="shared" si="13"/>
        <v>12</v>
      </c>
      <c r="G264">
        <f t="shared" si="14"/>
        <v>17</v>
      </c>
    </row>
    <row r="265" spans="1:7" x14ac:dyDescent="0.25">
      <c r="A265" s="27">
        <v>12</v>
      </c>
      <c r="B265" s="27">
        <v>18</v>
      </c>
      <c r="C265">
        <v>5.4</v>
      </c>
      <c r="D265">
        <f t="shared" si="12"/>
        <v>330</v>
      </c>
      <c r="F265">
        <f t="shared" si="13"/>
        <v>12</v>
      </c>
      <c r="G265">
        <f t="shared" si="14"/>
        <v>18</v>
      </c>
    </row>
    <row r="266" spans="1:7" x14ac:dyDescent="0.25">
      <c r="A266" s="27">
        <v>12</v>
      </c>
      <c r="B266" s="27">
        <v>19</v>
      </c>
      <c r="C266">
        <v>1</v>
      </c>
      <c r="D266">
        <f t="shared" si="12"/>
        <v>331</v>
      </c>
      <c r="F266">
        <f t="shared" si="13"/>
        <v>12</v>
      </c>
      <c r="G266">
        <f t="shared" si="14"/>
        <v>19</v>
      </c>
    </row>
    <row r="267" spans="1:7" x14ac:dyDescent="0.25">
      <c r="A267" s="27">
        <v>12</v>
      </c>
      <c r="B267" s="27">
        <v>20</v>
      </c>
      <c r="C267">
        <v>8.5</v>
      </c>
      <c r="D267">
        <f t="shared" si="12"/>
        <v>332</v>
      </c>
      <c r="F267">
        <f t="shared" si="13"/>
        <v>12</v>
      </c>
      <c r="G267">
        <f t="shared" si="14"/>
        <v>20</v>
      </c>
    </row>
    <row r="268" spans="1:7" x14ac:dyDescent="0.25">
      <c r="A268" s="27">
        <v>12</v>
      </c>
      <c r="B268" s="27">
        <v>21</v>
      </c>
      <c r="C268">
        <v>10.3</v>
      </c>
      <c r="D268">
        <f t="shared" si="12"/>
        <v>333</v>
      </c>
      <c r="F268">
        <f t="shared" si="13"/>
        <v>12</v>
      </c>
      <c r="G268">
        <f t="shared" si="14"/>
        <v>21</v>
      </c>
    </row>
    <row r="269" spans="1:7" x14ac:dyDescent="0.25">
      <c r="A269" s="27">
        <v>12</v>
      </c>
      <c r="B269" s="27">
        <v>22</v>
      </c>
      <c r="C269">
        <v>7.8</v>
      </c>
      <c r="D269">
        <f t="shared" si="12"/>
        <v>334</v>
      </c>
      <c r="F269">
        <f t="shared" si="13"/>
        <v>12</v>
      </c>
      <c r="G269">
        <f t="shared" si="14"/>
        <v>22</v>
      </c>
    </row>
    <row r="270" spans="1:7" x14ac:dyDescent="0.25">
      <c r="A270" s="27">
        <v>12</v>
      </c>
      <c r="B270" s="27">
        <v>23</v>
      </c>
      <c r="C270">
        <v>11.5</v>
      </c>
      <c r="D270">
        <f t="shared" si="12"/>
        <v>335</v>
      </c>
      <c r="F270">
        <f t="shared" si="13"/>
        <v>12</v>
      </c>
      <c r="G270">
        <f t="shared" si="14"/>
        <v>23</v>
      </c>
    </row>
    <row r="271" spans="1:7" x14ac:dyDescent="0.25">
      <c r="A271" s="27">
        <v>12</v>
      </c>
      <c r="B271" s="27">
        <v>24</v>
      </c>
      <c r="C271">
        <v>9.5</v>
      </c>
      <c r="D271">
        <f t="shared" si="12"/>
        <v>336</v>
      </c>
      <c r="F271">
        <f t="shared" si="13"/>
        <v>12</v>
      </c>
      <c r="G271">
        <f t="shared" si="14"/>
        <v>24</v>
      </c>
    </row>
    <row r="272" spans="1:7" x14ac:dyDescent="0.25">
      <c r="A272" s="27">
        <v>12</v>
      </c>
      <c r="B272" s="27">
        <v>25</v>
      </c>
      <c r="C272">
        <v>2.8</v>
      </c>
      <c r="D272">
        <f t="shared" si="12"/>
        <v>337</v>
      </c>
      <c r="F272">
        <f t="shared" si="13"/>
        <v>12</v>
      </c>
      <c r="G272">
        <f t="shared" si="14"/>
        <v>25</v>
      </c>
    </row>
    <row r="273" spans="1:7" x14ac:dyDescent="0.25">
      <c r="A273" s="27">
        <v>12</v>
      </c>
      <c r="B273" s="27">
        <v>26</v>
      </c>
      <c r="C273">
        <v>14.1</v>
      </c>
      <c r="D273">
        <f t="shared" si="12"/>
        <v>338</v>
      </c>
      <c r="F273">
        <f t="shared" si="13"/>
        <v>13</v>
      </c>
      <c r="G273">
        <f t="shared" si="14"/>
        <v>0</v>
      </c>
    </row>
    <row r="274" spans="1:7" x14ac:dyDescent="0.25">
      <c r="A274" s="27">
        <v>13</v>
      </c>
      <c r="B274" s="27">
        <v>13</v>
      </c>
      <c r="C274">
        <v>0</v>
      </c>
      <c r="D274">
        <f t="shared" si="12"/>
        <v>351</v>
      </c>
      <c r="F274">
        <f t="shared" si="13"/>
        <v>13</v>
      </c>
      <c r="G274">
        <f t="shared" si="14"/>
        <v>13</v>
      </c>
    </row>
    <row r="275" spans="1:7" x14ac:dyDescent="0.25">
      <c r="A275" s="27">
        <v>13</v>
      </c>
      <c r="B275" s="27">
        <v>14</v>
      </c>
      <c r="C275">
        <v>1.3</v>
      </c>
      <c r="D275">
        <f t="shared" si="12"/>
        <v>352</v>
      </c>
      <c r="F275">
        <f t="shared" si="13"/>
        <v>13</v>
      </c>
      <c r="G275">
        <f t="shared" si="14"/>
        <v>14</v>
      </c>
    </row>
    <row r="276" spans="1:7" x14ac:dyDescent="0.25">
      <c r="A276" s="27">
        <v>13</v>
      </c>
      <c r="B276" s="27">
        <v>15</v>
      </c>
      <c r="C276">
        <v>1.5</v>
      </c>
      <c r="D276">
        <f t="shared" si="12"/>
        <v>353</v>
      </c>
      <c r="F276">
        <f t="shared" si="13"/>
        <v>13</v>
      </c>
      <c r="G276">
        <f t="shared" si="14"/>
        <v>15</v>
      </c>
    </row>
    <row r="277" spans="1:7" x14ac:dyDescent="0.25">
      <c r="A277" s="27">
        <v>13</v>
      </c>
      <c r="B277" s="27">
        <v>16</v>
      </c>
      <c r="C277">
        <v>4</v>
      </c>
      <c r="D277">
        <f t="shared" si="12"/>
        <v>354</v>
      </c>
      <c r="F277">
        <f t="shared" si="13"/>
        <v>13</v>
      </c>
      <c r="G277">
        <f t="shared" si="14"/>
        <v>16</v>
      </c>
    </row>
    <row r="278" spans="1:7" x14ac:dyDescent="0.25">
      <c r="A278" s="27">
        <v>13</v>
      </c>
      <c r="B278" s="27">
        <v>17</v>
      </c>
      <c r="C278">
        <v>3.2</v>
      </c>
      <c r="D278">
        <f t="shared" si="12"/>
        <v>355</v>
      </c>
      <c r="F278">
        <f t="shared" si="13"/>
        <v>13</v>
      </c>
      <c r="G278">
        <f t="shared" si="14"/>
        <v>17</v>
      </c>
    </row>
    <row r="279" spans="1:7" x14ac:dyDescent="0.25">
      <c r="A279" s="27">
        <v>13</v>
      </c>
      <c r="B279" s="27">
        <v>18</v>
      </c>
      <c r="C279">
        <v>3</v>
      </c>
      <c r="D279">
        <f t="shared" si="12"/>
        <v>356</v>
      </c>
      <c r="F279">
        <f t="shared" si="13"/>
        <v>13</v>
      </c>
      <c r="G279">
        <f t="shared" si="14"/>
        <v>18</v>
      </c>
    </row>
    <row r="280" spans="1:7" x14ac:dyDescent="0.25">
      <c r="A280" s="27">
        <v>13</v>
      </c>
      <c r="B280" s="27">
        <v>19</v>
      </c>
      <c r="C280">
        <v>6.9</v>
      </c>
      <c r="D280">
        <f t="shared" si="12"/>
        <v>357</v>
      </c>
      <c r="F280">
        <f t="shared" si="13"/>
        <v>13</v>
      </c>
      <c r="G280">
        <f t="shared" si="14"/>
        <v>19</v>
      </c>
    </row>
    <row r="281" spans="1:7" x14ac:dyDescent="0.25">
      <c r="A281" s="27">
        <v>13</v>
      </c>
      <c r="B281" s="27">
        <v>20</v>
      </c>
      <c r="C281">
        <v>6.2</v>
      </c>
      <c r="D281">
        <f t="shared" si="12"/>
        <v>358</v>
      </c>
      <c r="F281">
        <f t="shared" si="13"/>
        <v>13</v>
      </c>
      <c r="G281">
        <f t="shared" si="14"/>
        <v>20</v>
      </c>
    </row>
    <row r="282" spans="1:7" x14ac:dyDescent="0.25">
      <c r="A282" s="27">
        <v>13</v>
      </c>
      <c r="B282" s="27">
        <v>21</v>
      </c>
      <c r="C282">
        <v>8.1999999999999993</v>
      </c>
      <c r="D282">
        <f t="shared" si="12"/>
        <v>359</v>
      </c>
      <c r="F282">
        <f t="shared" si="13"/>
        <v>13</v>
      </c>
      <c r="G282">
        <f t="shared" si="14"/>
        <v>21</v>
      </c>
    </row>
    <row r="283" spans="1:7" x14ac:dyDescent="0.25">
      <c r="A283" s="27">
        <v>13</v>
      </c>
      <c r="B283" s="27">
        <v>22</v>
      </c>
      <c r="C283">
        <v>5.5</v>
      </c>
      <c r="D283">
        <f t="shared" si="12"/>
        <v>360</v>
      </c>
      <c r="F283">
        <f t="shared" si="13"/>
        <v>13</v>
      </c>
      <c r="G283">
        <f t="shared" si="14"/>
        <v>22</v>
      </c>
    </row>
    <row r="284" spans="1:7" x14ac:dyDescent="0.25">
      <c r="A284" s="27">
        <v>13</v>
      </c>
      <c r="B284" s="27">
        <v>23</v>
      </c>
      <c r="C284">
        <v>4.4000000000000004</v>
      </c>
      <c r="D284">
        <f t="shared" si="12"/>
        <v>361</v>
      </c>
      <c r="F284">
        <f t="shared" si="13"/>
        <v>13</v>
      </c>
      <c r="G284">
        <f t="shared" si="14"/>
        <v>23</v>
      </c>
    </row>
    <row r="285" spans="1:7" x14ac:dyDescent="0.25">
      <c r="A285" s="27">
        <v>13</v>
      </c>
      <c r="B285" s="27">
        <v>24</v>
      </c>
      <c r="C285">
        <v>7.2</v>
      </c>
      <c r="D285">
        <f t="shared" si="12"/>
        <v>362</v>
      </c>
      <c r="F285">
        <f t="shared" si="13"/>
        <v>13</v>
      </c>
      <c r="G285">
        <f t="shared" si="14"/>
        <v>24</v>
      </c>
    </row>
    <row r="286" spans="1:7" x14ac:dyDescent="0.25">
      <c r="A286" s="27">
        <v>13</v>
      </c>
      <c r="B286" s="27">
        <v>25</v>
      </c>
      <c r="C286">
        <v>6.4</v>
      </c>
      <c r="D286">
        <f t="shared" si="12"/>
        <v>363</v>
      </c>
      <c r="F286">
        <f t="shared" si="13"/>
        <v>13</v>
      </c>
      <c r="G286">
        <f t="shared" si="14"/>
        <v>25</v>
      </c>
    </row>
    <row r="287" spans="1:7" x14ac:dyDescent="0.25">
      <c r="A287" s="27">
        <v>13</v>
      </c>
      <c r="B287" s="27">
        <v>26</v>
      </c>
      <c r="C287">
        <v>10.5</v>
      </c>
      <c r="D287">
        <f t="shared" si="12"/>
        <v>364</v>
      </c>
      <c r="F287">
        <f t="shared" si="13"/>
        <v>14</v>
      </c>
      <c r="G287">
        <f t="shared" si="14"/>
        <v>0</v>
      </c>
    </row>
    <row r="288" spans="1:7" x14ac:dyDescent="0.25">
      <c r="A288" s="27">
        <v>14</v>
      </c>
      <c r="B288" s="27">
        <v>14</v>
      </c>
      <c r="C288">
        <v>0</v>
      </c>
      <c r="D288">
        <f t="shared" si="12"/>
        <v>378</v>
      </c>
      <c r="F288">
        <f t="shared" si="13"/>
        <v>14</v>
      </c>
      <c r="G288">
        <f t="shared" si="14"/>
        <v>14</v>
      </c>
    </row>
    <row r="289" spans="1:7" x14ac:dyDescent="0.25">
      <c r="A289" s="27">
        <v>14</v>
      </c>
      <c r="B289" s="27">
        <v>15</v>
      </c>
      <c r="C289">
        <v>0.6</v>
      </c>
      <c r="D289">
        <f t="shared" si="12"/>
        <v>379</v>
      </c>
      <c r="F289">
        <f t="shared" si="13"/>
        <v>14</v>
      </c>
      <c r="G289">
        <f t="shared" si="14"/>
        <v>15</v>
      </c>
    </row>
    <row r="290" spans="1:7" x14ac:dyDescent="0.25">
      <c r="A290" s="27">
        <v>14</v>
      </c>
      <c r="B290" s="27">
        <v>16</v>
      </c>
      <c r="C290">
        <v>6.4</v>
      </c>
      <c r="D290">
        <f t="shared" si="12"/>
        <v>380</v>
      </c>
      <c r="F290">
        <f t="shared" si="13"/>
        <v>14</v>
      </c>
      <c r="G290">
        <f t="shared" si="14"/>
        <v>16</v>
      </c>
    </row>
    <row r="291" spans="1:7" x14ac:dyDescent="0.25">
      <c r="A291" s="27">
        <v>14</v>
      </c>
      <c r="B291" s="27">
        <v>17</v>
      </c>
      <c r="C291">
        <v>2.4</v>
      </c>
      <c r="D291">
        <f t="shared" si="12"/>
        <v>381</v>
      </c>
      <c r="F291">
        <f t="shared" si="13"/>
        <v>14</v>
      </c>
      <c r="G291">
        <f t="shared" si="14"/>
        <v>17</v>
      </c>
    </row>
    <row r="292" spans="1:7" x14ac:dyDescent="0.25">
      <c r="A292" s="27">
        <v>14</v>
      </c>
      <c r="B292" s="27">
        <v>18</v>
      </c>
      <c r="C292">
        <v>2.2000000000000002</v>
      </c>
      <c r="D292">
        <f t="shared" si="12"/>
        <v>382</v>
      </c>
      <c r="F292">
        <f t="shared" si="13"/>
        <v>14</v>
      </c>
      <c r="G292">
        <f t="shared" si="14"/>
        <v>18</v>
      </c>
    </row>
    <row r="293" spans="1:7" x14ac:dyDescent="0.25">
      <c r="A293" s="27">
        <v>14</v>
      </c>
      <c r="B293" s="27">
        <v>19</v>
      </c>
      <c r="C293">
        <v>6.8</v>
      </c>
      <c r="D293">
        <f t="shared" si="12"/>
        <v>383</v>
      </c>
      <c r="F293">
        <f t="shared" si="13"/>
        <v>14</v>
      </c>
      <c r="G293">
        <f t="shared" si="14"/>
        <v>19</v>
      </c>
    </row>
    <row r="294" spans="1:7" x14ac:dyDescent="0.25">
      <c r="A294" s="27">
        <v>14</v>
      </c>
      <c r="B294" s="27">
        <v>20</v>
      </c>
      <c r="C294">
        <v>5.3</v>
      </c>
      <c r="D294">
        <f t="shared" si="12"/>
        <v>384</v>
      </c>
      <c r="F294">
        <f t="shared" si="13"/>
        <v>14</v>
      </c>
      <c r="G294">
        <f t="shared" si="14"/>
        <v>20</v>
      </c>
    </row>
    <row r="295" spans="1:7" x14ac:dyDescent="0.25">
      <c r="A295" s="27">
        <v>14</v>
      </c>
      <c r="B295" s="27">
        <v>21</v>
      </c>
      <c r="C295">
        <v>7.4</v>
      </c>
      <c r="D295">
        <f t="shared" si="12"/>
        <v>385</v>
      </c>
      <c r="F295">
        <f t="shared" si="13"/>
        <v>14</v>
      </c>
      <c r="G295">
        <f t="shared" si="14"/>
        <v>21</v>
      </c>
    </row>
    <row r="296" spans="1:7" x14ac:dyDescent="0.25">
      <c r="A296" s="27">
        <v>14</v>
      </c>
      <c r="B296" s="27">
        <v>22</v>
      </c>
      <c r="C296">
        <v>4.5999999999999996</v>
      </c>
      <c r="D296">
        <f t="shared" si="12"/>
        <v>386</v>
      </c>
      <c r="F296">
        <f t="shared" si="13"/>
        <v>14</v>
      </c>
      <c r="G296">
        <f t="shared" si="14"/>
        <v>22</v>
      </c>
    </row>
    <row r="297" spans="1:7" x14ac:dyDescent="0.25">
      <c r="A297" s="27">
        <v>14</v>
      </c>
      <c r="B297" s="27">
        <v>23</v>
      </c>
      <c r="C297">
        <v>4.8</v>
      </c>
      <c r="D297">
        <f t="shared" si="12"/>
        <v>387</v>
      </c>
      <c r="F297">
        <f t="shared" si="13"/>
        <v>14</v>
      </c>
      <c r="G297">
        <f t="shared" si="14"/>
        <v>23</v>
      </c>
    </row>
    <row r="298" spans="1:7" x14ac:dyDescent="0.25">
      <c r="A298" s="27">
        <v>14</v>
      </c>
      <c r="B298" s="27">
        <v>24</v>
      </c>
      <c r="C298">
        <v>6.3</v>
      </c>
      <c r="D298">
        <f t="shared" si="12"/>
        <v>388</v>
      </c>
      <c r="F298">
        <f t="shared" si="13"/>
        <v>14</v>
      </c>
      <c r="G298">
        <f t="shared" si="14"/>
        <v>24</v>
      </c>
    </row>
    <row r="299" spans="1:7" x14ac:dyDescent="0.25">
      <c r="A299" s="27">
        <v>14</v>
      </c>
      <c r="B299" s="27">
        <v>25</v>
      </c>
      <c r="C299">
        <v>6.5</v>
      </c>
      <c r="D299">
        <f t="shared" si="12"/>
        <v>389</v>
      </c>
      <c r="F299">
        <f t="shared" si="13"/>
        <v>14</v>
      </c>
      <c r="G299">
        <f t="shared" si="14"/>
        <v>25</v>
      </c>
    </row>
    <row r="300" spans="1:7" x14ac:dyDescent="0.25">
      <c r="A300" s="27">
        <v>14</v>
      </c>
      <c r="B300" s="27">
        <v>26</v>
      </c>
      <c r="C300">
        <v>8.8000000000000007</v>
      </c>
      <c r="D300">
        <f t="shared" si="12"/>
        <v>390</v>
      </c>
      <c r="F300">
        <f t="shared" si="13"/>
        <v>15</v>
      </c>
      <c r="G300">
        <f t="shared" si="14"/>
        <v>0</v>
      </c>
    </row>
    <row r="301" spans="1:7" x14ac:dyDescent="0.25">
      <c r="A301" s="27">
        <v>15</v>
      </c>
      <c r="B301" s="27">
        <v>15</v>
      </c>
      <c r="C301">
        <v>0</v>
      </c>
      <c r="D301">
        <f t="shared" si="12"/>
        <v>405</v>
      </c>
      <c r="F301">
        <f t="shared" si="13"/>
        <v>15</v>
      </c>
      <c r="G301">
        <f t="shared" si="14"/>
        <v>15</v>
      </c>
    </row>
    <row r="302" spans="1:7" x14ac:dyDescent="0.25">
      <c r="A302" s="27">
        <v>15</v>
      </c>
      <c r="B302" s="27">
        <v>16</v>
      </c>
      <c r="C302">
        <v>5.6</v>
      </c>
      <c r="D302">
        <f t="shared" si="12"/>
        <v>406</v>
      </c>
      <c r="F302">
        <f t="shared" si="13"/>
        <v>15</v>
      </c>
      <c r="G302">
        <f t="shared" si="14"/>
        <v>16</v>
      </c>
    </row>
    <row r="303" spans="1:7" x14ac:dyDescent="0.25">
      <c r="A303" s="27">
        <v>15</v>
      </c>
      <c r="B303" s="27">
        <v>17</v>
      </c>
      <c r="C303">
        <v>1.6</v>
      </c>
      <c r="D303">
        <f t="shared" si="12"/>
        <v>407</v>
      </c>
      <c r="F303">
        <f t="shared" si="13"/>
        <v>15</v>
      </c>
      <c r="G303">
        <f t="shared" si="14"/>
        <v>17</v>
      </c>
    </row>
    <row r="304" spans="1:7" x14ac:dyDescent="0.25">
      <c r="A304" s="27">
        <v>15</v>
      </c>
      <c r="B304" s="27">
        <v>18</v>
      </c>
      <c r="C304">
        <v>1.7</v>
      </c>
      <c r="D304">
        <f t="shared" si="12"/>
        <v>408</v>
      </c>
      <c r="F304">
        <f t="shared" si="13"/>
        <v>15</v>
      </c>
      <c r="G304">
        <f t="shared" si="14"/>
        <v>18</v>
      </c>
    </row>
    <row r="305" spans="1:7" x14ac:dyDescent="0.25">
      <c r="A305" s="27">
        <v>15</v>
      </c>
      <c r="B305" s="27">
        <v>19</v>
      </c>
      <c r="C305">
        <v>6.4</v>
      </c>
      <c r="D305">
        <f t="shared" si="12"/>
        <v>409</v>
      </c>
      <c r="F305">
        <f t="shared" si="13"/>
        <v>15</v>
      </c>
      <c r="G305">
        <f t="shared" si="14"/>
        <v>19</v>
      </c>
    </row>
    <row r="306" spans="1:7" x14ac:dyDescent="0.25">
      <c r="A306" s="27">
        <v>15</v>
      </c>
      <c r="B306" s="27">
        <v>20</v>
      </c>
      <c r="C306">
        <v>4.9000000000000004</v>
      </c>
      <c r="D306">
        <f t="shared" si="12"/>
        <v>410</v>
      </c>
      <c r="F306">
        <f t="shared" si="13"/>
        <v>15</v>
      </c>
      <c r="G306">
        <f t="shared" si="14"/>
        <v>20</v>
      </c>
    </row>
    <row r="307" spans="1:7" x14ac:dyDescent="0.25">
      <c r="A307" s="27">
        <v>15</v>
      </c>
      <c r="B307" s="27">
        <v>21</v>
      </c>
      <c r="C307">
        <v>6.9</v>
      </c>
      <c r="D307">
        <f t="shared" si="12"/>
        <v>411</v>
      </c>
      <c r="F307">
        <f t="shared" si="13"/>
        <v>15</v>
      </c>
      <c r="G307">
        <f t="shared" si="14"/>
        <v>21</v>
      </c>
    </row>
    <row r="308" spans="1:7" x14ac:dyDescent="0.25">
      <c r="A308" s="27">
        <v>15</v>
      </c>
      <c r="B308" s="27">
        <v>22</v>
      </c>
      <c r="C308">
        <v>4.2</v>
      </c>
      <c r="D308">
        <f t="shared" si="12"/>
        <v>412</v>
      </c>
      <c r="F308">
        <f t="shared" si="13"/>
        <v>15</v>
      </c>
      <c r="G308">
        <f t="shared" si="14"/>
        <v>22</v>
      </c>
    </row>
    <row r="309" spans="1:7" x14ac:dyDescent="0.25">
      <c r="A309" s="27">
        <v>15</v>
      </c>
      <c r="B309" s="27">
        <v>23</v>
      </c>
      <c r="C309">
        <v>5.6</v>
      </c>
      <c r="D309">
        <f t="shared" si="12"/>
        <v>413</v>
      </c>
      <c r="F309">
        <f t="shared" si="13"/>
        <v>15</v>
      </c>
      <c r="G309">
        <f t="shared" si="14"/>
        <v>23</v>
      </c>
    </row>
    <row r="310" spans="1:7" x14ac:dyDescent="0.25">
      <c r="A310" s="27">
        <v>15</v>
      </c>
      <c r="B310" s="27">
        <v>24</v>
      </c>
      <c r="C310">
        <v>5.9</v>
      </c>
      <c r="D310">
        <f t="shared" si="12"/>
        <v>414</v>
      </c>
      <c r="F310">
        <f t="shared" si="13"/>
        <v>15</v>
      </c>
      <c r="G310">
        <f t="shared" si="14"/>
        <v>24</v>
      </c>
    </row>
    <row r="311" spans="1:7" x14ac:dyDescent="0.25">
      <c r="A311" s="27">
        <v>15</v>
      </c>
      <c r="B311" s="27">
        <v>25</v>
      </c>
      <c r="C311">
        <v>5.7</v>
      </c>
      <c r="D311">
        <f t="shared" si="12"/>
        <v>415</v>
      </c>
      <c r="F311">
        <f t="shared" si="13"/>
        <v>15</v>
      </c>
      <c r="G311">
        <f t="shared" si="14"/>
        <v>25</v>
      </c>
    </row>
    <row r="312" spans="1:7" x14ac:dyDescent="0.25">
      <c r="A312" s="27">
        <v>15</v>
      </c>
      <c r="B312" s="27">
        <v>26</v>
      </c>
      <c r="C312">
        <v>8.4</v>
      </c>
      <c r="D312">
        <f t="shared" si="12"/>
        <v>416</v>
      </c>
      <c r="F312">
        <f t="shared" si="13"/>
        <v>16</v>
      </c>
      <c r="G312">
        <f t="shared" si="14"/>
        <v>0</v>
      </c>
    </row>
    <row r="313" spans="1:7" x14ac:dyDescent="0.25">
      <c r="A313" s="27">
        <v>16</v>
      </c>
      <c r="B313" s="27">
        <v>16</v>
      </c>
      <c r="C313">
        <v>0</v>
      </c>
      <c r="D313">
        <f t="shared" si="12"/>
        <v>432</v>
      </c>
      <c r="F313">
        <f t="shared" si="13"/>
        <v>16</v>
      </c>
      <c r="G313">
        <f t="shared" si="14"/>
        <v>16</v>
      </c>
    </row>
    <row r="314" spans="1:7" x14ac:dyDescent="0.25">
      <c r="A314" s="27">
        <v>16</v>
      </c>
      <c r="B314" s="27">
        <v>17</v>
      </c>
      <c r="C314">
        <v>7.1</v>
      </c>
      <c r="D314">
        <f t="shared" si="12"/>
        <v>433</v>
      </c>
      <c r="F314">
        <f t="shared" si="13"/>
        <v>16</v>
      </c>
      <c r="G314">
        <f t="shared" si="14"/>
        <v>17</v>
      </c>
    </row>
    <row r="315" spans="1:7" x14ac:dyDescent="0.25">
      <c r="A315" s="27">
        <v>16</v>
      </c>
      <c r="B315" s="27">
        <v>18</v>
      </c>
      <c r="C315">
        <v>6.1</v>
      </c>
      <c r="D315">
        <f t="shared" si="12"/>
        <v>434</v>
      </c>
      <c r="F315">
        <f t="shared" si="13"/>
        <v>16</v>
      </c>
      <c r="G315">
        <f t="shared" si="14"/>
        <v>18</v>
      </c>
    </row>
    <row r="316" spans="1:7" x14ac:dyDescent="0.25">
      <c r="A316" s="27">
        <v>16</v>
      </c>
      <c r="B316" s="27">
        <v>19</v>
      </c>
      <c r="C316">
        <v>7.2</v>
      </c>
      <c r="D316">
        <f t="shared" si="12"/>
        <v>435</v>
      </c>
      <c r="F316">
        <f t="shared" si="13"/>
        <v>16</v>
      </c>
      <c r="G316">
        <f t="shared" si="14"/>
        <v>19</v>
      </c>
    </row>
    <row r="317" spans="1:7" x14ac:dyDescent="0.25">
      <c r="A317" s="27">
        <v>16</v>
      </c>
      <c r="B317" s="27">
        <v>20</v>
      </c>
      <c r="C317">
        <v>10.6</v>
      </c>
      <c r="D317">
        <f t="shared" si="12"/>
        <v>436</v>
      </c>
      <c r="F317">
        <f t="shared" si="13"/>
        <v>16</v>
      </c>
      <c r="G317">
        <f t="shared" si="14"/>
        <v>20</v>
      </c>
    </row>
    <row r="318" spans="1:7" x14ac:dyDescent="0.25">
      <c r="A318" s="27">
        <v>16</v>
      </c>
      <c r="B318" s="27">
        <v>21</v>
      </c>
      <c r="C318">
        <v>12</v>
      </c>
      <c r="D318">
        <f t="shared" si="12"/>
        <v>437</v>
      </c>
      <c r="F318">
        <f t="shared" si="13"/>
        <v>16</v>
      </c>
      <c r="G318">
        <f t="shared" si="14"/>
        <v>21</v>
      </c>
    </row>
    <row r="319" spans="1:7" x14ac:dyDescent="0.25">
      <c r="A319" s="27">
        <v>16</v>
      </c>
      <c r="B319" s="27">
        <v>22</v>
      </c>
      <c r="C319">
        <v>9.4</v>
      </c>
      <c r="D319">
        <f t="shared" si="12"/>
        <v>438</v>
      </c>
      <c r="F319">
        <f t="shared" si="13"/>
        <v>16</v>
      </c>
      <c r="G319">
        <f t="shared" si="14"/>
        <v>22</v>
      </c>
    </row>
    <row r="320" spans="1:7" x14ac:dyDescent="0.25">
      <c r="A320" s="27">
        <v>16</v>
      </c>
      <c r="B320" s="27">
        <v>23</v>
      </c>
      <c r="C320">
        <v>7.5</v>
      </c>
      <c r="D320">
        <f t="shared" si="12"/>
        <v>439</v>
      </c>
      <c r="F320">
        <f t="shared" si="13"/>
        <v>16</v>
      </c>
      <c r="G320">
        <f t="shared" si="14"/>
        <v>23</v>
      </c>
    </row>
    <row r="321" spans="1:7" x14ac:dyDescent="0.25">
      <c r="A321" s="27">
        <v>16</v>
      </c>
      <c r="B321" s="27">
        <v>24</v>
      </c>
      <c r="C321">
        <v>11.1</v>
      </c>
      <c r="D321">
        <f t="shared" si="12"/>
        <v>440</v>
      </c>
      <c r="F321">
        <f t="shared" si="13"/>
        <v>16</v>
      </c>
      <c r="G321">
        <f t="shared" si="14"/>
        <v>24</v>
      </c>
    </row>
    <row r="322" spans="1:7" x14ac:dyDescent="0.25">
      <c r="A322" s="27">
        <v>16</v>
      </c>
      <c r="B322" s="27">
        <v>25</v>
      </c>
      <c r="C322">
        <v>6.2</v>
      </c>
      <c r="D322">
        <f t="shared" ref="D322:D378" si="15">A322*26+B322</f>
        <v>441</v>
      </c>
      <c r="F322">
        <f t="shared" ref="F322:F378" si="16">QUOTIENT(D322,26)</f>
        <v>16</v>
      </c>
      <c r="G322">
        <f t="shared" ref="G322:G378" si="17">MOD(D322,26)</f>
        <v>25</v>
      </c>
    </row>
    <row r="323" spans="1:7" x14ac:dyDescent="0.25">
      <c r="A323" s="27">
        <v>16</v>
      </c>
      <c r="B323" s="27">
        <v>26</v>
      </c>
      <c r="C323">
        <v>13.6</v>
      </c>
      <c r="D323">
        <f t="shared" si="15"/>
        <v>442</v>
      </c>
      <c r="F323">
        <f t="shared" si="16"/>
        <v>17</v>
      </c>
      <c r="G323">
        <f t="shared" si="17"/>
        <v>0</v>
      </c>
    </row>
    <row r="324" spans="1:7" x14ac:dyDescent="0.25">
      <c r="A324" s="27">
        <v>17</v>
      </c>
      <c r="B324" s="27">
        <v>17</v>
      </c>
      <c r="C324">
        <v>0</v>
      </c>
      <c r="D324">
        <f t="shared" si="15"/>
        <v>459</v>
      </c>
      <c r="F324">
        <f t="shared" si="16"/>
        <v>17</v>
      </c>
      <c r="G324">
        <f t="shared" si="17"/>
        <v>17</v>
      </c>
    </row>
    <row r="325" spans="1:7" x14ac:dyDescent="0.25">
      <c r="A325" s="27">
        <v>17</v>
      </c>
      <c r="B325" s="27">
        <v>18</v>
      </c>
      <c r="C325">
        <v>1.6</v>
      </c>
      <c r="D325">
        <f t="shared" si="15"/>
        <v>460</v>
      </c>
      <c r="F325">
        <f t="shared" si="16"/>
        <v>17</v>
      </c>
      <c r="G325">
        <f t="shared" si="17"/>
        <v>18</v>
      </c>
    </row>
    <row r="326" spans="1:7" x14ac:dyDescent="0.25">
      <c r="A326" s="27">
        <v>17</v>
      </c>
      <c r="B326" s="27">
        <v>19</v>
      </c>
      <c r="C326">
        <v>4.9000000000000004</v>
      </c>
      <c r="D326">
        <f t="shared" si="15"/>
        <v>461</v>
      </c>
      <c r="F326">
        <f t="shared" si="16"/>
        <v>17</v>
      </c>
      <c r="G326">
        <f t="shared" si="17"/>
        <v>19</v>
      </c>
    </row>
    <row r="327" spans="1:7" x14ac:dyDescent="0.25">
      <c r="A327" s="27">
        <v>17</v>
      </c>
      <c r="B327" s="27">
        <v>20</v>
      </c>
      <c r="C327">
        <v>3</v>
      </c>
      <c r="D327">
        <f t="shared" si="15"/>
        <v>462</v>
      </c>
      <c r="F327">
        <f t="shared" si="16"/>
        <v>17</v>
      </c>
      <c r="G327">
        <f t="shared" si="17"/>
        <v>20</v>
      </c>
    </row>
    <row r="328" spans="1:7" x14ac:dyDescent="0.25">
      <c r="A328" s="27">
        <v>17</v>
      </c>
      <c r="B328" s="27">
        <v>21</v>
      </c>
      <c r="C328">
        <v>5</v>
      </c>
      <c r="D328">
        <f t="shared" si="15"/>
        <v>463</v>
      </c>
      <c r="F328">
        <f t="shared" si="16"/>
        <v>17</v>
      </c>
      <c r="G328">
        <f t="shared" si="17"/>
        <v>21</v>
      </c>
    </row>
    <row r="329" spans="1:7" x14ac:dyDescent="0.25">
      <c r="A329" s="27">
        <v>17</v>
      </c>
      <c r="B329" s="27">
        <v>22</v>
      </c>
      <c r="C329">
        <v>2.2999999999999998</v>
      </c>
      <c r="D329">
        <f t="shared" si="15"/>
        <v>464</v>
      </c>
      <c r="F329">
        <f t="shared" si="16"/>
        <v>17</v>
      </c>
      <c r="G329">
        <f t="shared" si="17"/>
        <v>22</v>
      </c>
    </row>
    <row r="330" spans="1:7" x14ac:dyDescent="0.25">
      <c r="A330" s="27">
        <v>17</v>
      </c>
      <c r="B330" s="27">
        <v>23</v>
      </c>
      <c r="C330">
        <v>5.5</v>
      </c>
      <c r="D330">
        <f t="shared" si="15"/>
        <v>465</v>
      </c>
      <c r="F330">
        <f t="shared" si="16"/>
        <v>17</v>
      </c>
      <c r="G330">
        <f t="shared" si="17"/>
        <v>23</v>
      </c>
    </row>
    <row r="331" spans="1:7" x14ac:dyDescent="0.25">
      <c r="A331" s="27">
        <v>17</v>
      </c>
      <c r="B331" s="27">
        <v>24</v>
      </c>
      <c r="C331">
        <v>4</v>
      </c>
      <c r="D331">
        <f t="shared" si="15"/>
        <v>466</v>
      </c>
      <c r="F331">
        <f t="shared" si="16"/>
        <v>17</v>
      </c>
      <c r="G331">
        <f t="shared" si="17"/>
        <v>24</v>
      </c>
    </row>
    <row r="332" spans="1:7" x14ac:dyDescent="0.25">
      <c r="A332" s="27">
        <v>17</v>
      </c>
      <c r="B332" s="27">
        <v>25</v>
      </c>
      <c r="C332">
        <v>5.0999999999999996</v>
      </c>
      <c r="D332">
        <f t="shared" si="15"/>
        <v>467</v>
      </c>
      <c r="F332">
        <f t="shared" si="16"/>
        <v>17</v>
      </c>
      <c r="G332">
        <f t="shared" si="17"/>
        <v>25</v>
      </c>
    </row>
    <row r="333" spans="1:7" x14ac:dyDescent="0.25">
      <c r="A333" s="27">
        <v>17</v>
      </c>
      <c r="B333" s="27">
        <v>26</v>
      </c>
      <c r="C333">
        <v>5.2</v>
      </c>
      <c r="D333">
        <f t="shared" si="15"/>
        <v>468</v>
      </c>
      <c r="F333">
        <f t="shared" si="16"/>
        <v>18</v>
      </c>
      <c r="G333">
        <f t="shared" si="17"/>
        <v>0</v>
      </c>
    </row>
    <row r="334" spans="1:7" x14ac:dyDescent="0.25">
      <c r="A334" s="27">
        <v>18</v>
      </c>
      <c r="B334" s="27">
        <v>18</v>
      </c>
      <c r="C334">
        <v>0</v>
      </c>
      <c r="D334">
        <f t="shared" si="15"/>
        <v>486</v>
      </c>
      <c r="F334">
        <f t="shared" si="16"/>
        <v>18</v>
      </c>
      <c r="G334">
        <f t="shared" si="17"/>
        <v>18</v>
      </c>
    </row>
    <row r="335" spans="1:7" x14ac:dyDescent="0.25">
      <c r="A335" s="27">
        <v>18</v>
      </c>
      <c r="B335" s="27">
        <v>19</v>
      </c>
      <c r="C335">
        <v>4.4000000000000004</v>
      </c>
      <c r="D335">
        <f t="shared" si="15"/>
        <v>487</v>
      </c>
      <c r="F335">
        <f t="shared" si="16"/>
        <v>18</v>
      </c>
      <c r="G335">
        <f t="shared" si="17"/>
        <v>19</v>
      </c>
    </row>
    <row r="336" spans="1:7" x14ac:dyDescent="0.25">
      <c r="A336" s="27">
        <v>18</v>
      </c>
      <c r="B336" s="27">
        <v>20</v>
      </c>
      <c r="C336">
        <v>4.5999999999999996</v>
      </c>
      <c r="D336">
        <f t="shared" si="15"/>
        <v>488</v>
      </c>
      <c r="F336">
        <f t="shared" si="16"/>
        <v>18</v>
      </c>
      <c r="G336">
        <f t="shared" si="17"/>
        <v>20</v>
      </c>
    </row>
    <row r="337" spans="1:7" x14ac:dyDescent="0.25">
      <c r="A337" s="27">
        <v>18</v>
      </c>
      <c r="B337" s="27">
        <v>21</v>
      </c>
      <c r="C337">
        <v>6.6</v>
      </c>
      <c r="D337">
        <f t="shared" si="15"/>
        <v>489</v>
      </c>
      <c r="F337">
        <f t="shared" si="16"/>
        <v>18</v>
      </c>
      <c r="G337">
        <f t="shared" si="17"/>
        <v>21</v>
      </c>
    </row>
    <row r="338" spans="1:7" x14ac:dyDescent="0.25">
      <c r="A338" s="27">
        <v>18</v>
      </c>
      <c r="B338" s="27">
        <v>22</v>
      </c>
      <c r="C338">
        <v>3.9</v>
      </c>
      <c r="D338">
        <f t="shared" si="15"/>
        <v>490</v>
      </c>
      <c r="F338">
        <f t="shared" si="16"/>
        <v>18</v>
      </c>
      <c r="G338">
        <f t="shared" si="17"/>
        <v>22</v>
      </c>
    </row>
    <row r="339" spans="1:7" x14ac:dyDescent="0.25">
      <c r="A339" s="27">
        <v>18</v>
      </c>
      <c r="B339" s="27">
        <v>23</v>
      </c>
      <c r="C339">
        <v>6.5</v>
      </c>
      <c r="D339">
        <f t="shared" si="15"/>
        <v>491</v>
      </c>
      <c r="F339">
        <f t="shared" si="16"/>
        <v>18</v>
      </c>
      <c r="G339">
        <f t="shared" si="17"/>
        <v>23</v>
      </c>
    </row>
    <row r="340" spans="1:7" x14ac:dyDescent="0.25">
      <c r="A340" s="27">
        <v>18</v>
      </c>
      <c r="B340" s="27">
        <v>24</v>
      </c>
      <c r="C340">
        <v>5.6</v>
      </c>
      <c r="D340">
        <f t="shared" si="15"/>
        <v>492</v>
      </c>
      <c r="F340">
        <f t="shared" si="16"/>
        <v>18</v>
      </c>
      <c r="G340">
        <f t="shared" si="17"/>
        <v>24</v>
      </c>
    </row>
    <row r="341" spans="1:7" x14ac:dyDescent="0.25">
      <c r="A341" s="27">
        <v>18</v>
      </c>
      <c r="B341" s="27">
        <v>25</v>
      </c>
      <c r="C341">
        <v>4.3</v>
      </c>
      <c r="D341">
        <f t="shared" si="15"/>
        <v>493</v>
      </c>
      <c r="F341">
        <f t="shared" si="16"/>
        <v>18</v>
      </c>
      <c r="G341">
        <f t="shared" si="17"/>
        <v>25</v>
      </c>
    </row>
    <row r="342" spans="1:7" x14ac:dyDescent="0.25">
      <c r="A342" s="27">
        <v>18</v>
      </c>
      <c r="B342" s="27">
        <v>26</v>
      </c>
      <c r="C342">
        <v>6.9</v>
      </c>
      <c r="D342">
        <f t="shared" si="15"/>
        <v>494</v>
      </c>
      <c r="F342">
        <f t="shared" si="16"/>
        <v>19</v>
      </c>
      <c r="G342">
        <f t="shared" si="17"/>
        <v>0</v>
      </c>
    </row>
    <row r="343" spans="1:7" x14ac:dyDescent="0.25">
      <c r="A343" s="27">
        <v>19</v>
      </c>
      <c r="B343" s="27">
        <v>19</v>
      </c>
      <c r="C343">
        <v>0</v>
      </c>
      <c r="D343">
        <f t="shared" si="15"/>
        <v>513</v>
      </c>
      <c r="F343">
        <f t="shared" si="16"/>
        <v>19</v>
      </c>
      <c r="G343">
        <f t="shared" si="17"/>
        <v>19</v>
      </c>
    </row>
    <row r="344" spans="1:7" x14ac:dyDescent="0.25">
      <c r="A344" s="27">
        <v>19</v>
      </c>
      <c r="B344" s="27">
        <v>20</v>
      </c>
      <c r="C344">
        <v>7.5</v>
      </c>
      <c r="D344">
        <f t="shared" si="15"/>
        <v>514</v>
      </c>
      <c r="F344">
        <f t="shared" si="16"/>
        <v>19</v>
      </c>
      <c r="G344">
        <f t="shared" si="17"/>
        <v>20</v>
      </c>
    </row>
    <row r="345" spans="1:7" x14ac:dyDescent="0.25">
      <c r="A345" s="27">
        <v>19</v>
      </c>
      <c r="B345" s="27">
        <v>21</v>
      </c>
      <c r="C345">
        <v>9.3000000000000007</v>
      </c>
      <c r="D345">
        <f t="shared" si="15"/>
        <v>515</v>
      </c>
      <c r="F345">
        <f t="shared" si="16"/>
        <v>19</v>
      </c>
      <c r="G345">
        <f t="shared" si="17"/>
        <v>21</v>
      </c>
    </row>
    <row r="346" spans="1:7" x14ac:dyDescent="0.25">
      <c r="A346" s="27">
        <v>19</v>
      </c>
      <c r="B346" s="27">
        <v>22</v>
      </c>
      <c r="C346">
        <v>6.8</v>
      </c>
      <c r="D346">
        <f t="shared" si="15"/>
        <v>516</v>
      </c>
      <c r="F346">
        <f t="shared" si="16"/>
        <v>19</v>
      </c>
      <c r="G346">
        <f t="shared" si="17"/>
        <v>22</v>
      </c>
    </row>
    <row r="347" spans="1:7" x14ac:dyDescent="0.25">
      <c r="A347" s="27">
        <v>19</v>
      </c>
      <c r="B347" s="27">
        <v>23</v>
      </c>
      <c r="C347">
        <v>11.4</v>
      </c>
      <c r="D347">
        <f t="shared" si="15"/>
        <v>517</v>
      </c>
      <c r="F347">
        <f t="shared" si="16"/>
        <v>19</v>
      </c>
      <c r="G347">
        <f t="shared" si="17"/>
        <v>23</v>
      </c>
    </row>
    <row r="348" spans="1:7" x14ac:dyDescent="0.25">
      <c r="A348" s="27">
        <v>19</v>
      </c>
      <c r="B348" s="27">
        <v>24</v>
      </c>
      <c r="C348">
        <v>8.5</v>
      </c>
      <c r="D348">
        <f t="shared" si="15"/>
        <v>518</v>
      </c>
      <c r="F348">
        <f t="shared" si="16"/>
        <v>19</v>
      </c>
      <c r="G348">
        <f t="shared" si="17"/>
        <v>24</v>
      </c>
    </row>
    <row r="349" spans="1:7" x14ac:dyDescent="0.25">
      <c r="A349" s="27">
        <v>19</v>
      </c>
      <c r="B349" s="27">
        <v>25</v>
      </c>
      <c r="C349">
        <v>1.8</v>
      </c>
      <c r="D349">
        <f t="shared" si="15"/>
        <v>519</v>
      </c>
      <c r="F349">
        <f t="shared" si="16"/>
        <v>19</v>
      </c>
      <c r="G349">
        <f t="shared" si="17"/>
        <v>25</v>
      </c>
    </row>
    <row r="350" spans="1:7" x14ac:dyDescent="0.25">
      <c r="A350" s="27">
        <v>19</v>
      </c>
      <c r="B350" s="27">
        <v>26</v>
      </c>
      <c r="C350">
        <v>13.1</v>
      </c>
      <c r="D350">
        <f t="shared" si="15"/>
        <v>520</v>
      </c>
      <c r="F350">
        <f t="shared" si="16"/>
        <v>20</v>
      </c>
      <c r="G350">
        <f t="shared" si="17"/>
        <v>0</v>
      </c>
    </row>
    <row r="351" spans="1:7" x14ac:dyDescent="0.25">
      <c r="A351" s="27">
        <v>20</v>
      </c>
      <c r="B351" s="27">
        <v>20</v>
      </c>
      <c r="C351">
        <v>0</v>
      </c>
      <c r="D351">
        <f t="shared" si="15"/>
        <v>540</v>
      </c>
      <c r="F351">
        <f t="shared" si="16"/>
        <v>20</v>
      </c>
      <c r="G351">
        <f t="shared" si="17"/>
        <v>20</v>
      </c>
    </row>
    <row r="352" spans="1:7" x14ac:dyDescent="0.25">
      <c r="A352" s="27">
        <v>20</v>
      </c>
      <c r="B352" s="27">
        <v>21</v>
      </c>
      <c r="C352">
        <v>2</v>
      </c>
      <c r="D352">
        <f t="shared" si="15"/>
        <v>541</v>
      </c>
      <c r="F352">
        <f t="shared" si="16"/>
        <v>20</v>
      </c>
      <c r="G352">
        <f t="shared" si="17"/>
        <v>21</v>
      </c>
    </row>
    <row r="353" spans="1:7" x14ac:dyDescent="0.25">
      <c r="A353" s="27">
        <v>20</v>
      </c>
      <c r="B353" s="27">
        <v>22</v>
      </c>
      <c r="C353">
        <v>2.9</v>
      </c>
      <c r="D353">
        <f t="shared" si="15"/>
        <v>542</v>
      </c>
      <c r="F353">
        <f t="shared" si="16"/>
        <v>20</v>
      </c>
      <c r="G353">
        <f t="shared" si="17"/>
        <v>22</v>
      </c>
    </row>
    <row r="354" spans="1:7" x14ac:dyDescent="0.25">
      <c r="A354" s="27">
        <v>20</v>
      </c>
      <c r="B354" s="27">
        <v>23</v>
      </c>
      <c r="C354">
        <v>6.4</v>
      </c>
      <c r="D354">
        <f t="shared" si="15"/>
        <v>543</v>
      </c>
      <c r="F354">
        <f t="shared" si="16"/>
        <v>20</v>
      </c>
      <c r="G354">
        <f t="shared" si="17"/>
        <v>23</v>
      </c>
    </row>
    <row r="355" spans="1:7" x14ac:dyDescent="0.25">
      <c r="A355" s="27">
        <v>20</v>
      </c>
      <c r="B355" s="27">
        <v>24</v>
      </c>
      <c r="C355">
        <v>2.8</v>
      </c>
      <c r="D355">
        <f t="shared" si="15"/>
        <v>544</v>
      </c>
      <c r="F355">
        <f t="shared" si="16"/>
        <v>20</v>
      </c>
      <c r="G355">
        <f t="shared" si="17"/>
        <v>24</v>
      </c>
    </row>
    <row r="356" spans="1:7" x14ac:dyDescent="0.25">
      <c r="A356" s="27">
        <v>20</v>
      </c>
      <c r="B356" s="27">
        <v>25</v>
      </c>
      <c r="C356">
        <v>6</v>
      </c>
      <c r="D356">
        <f t="shared" si="15"/>
        <v>545</v>
      </c>
      <c r="F356">
        <f t="shared" si="16"/>
        <v>20</v>
      </c>
      <c r="G356">
        <f t="shared" si="17"/>
        <v>25</v>
      </c>
    </row>
    <row r="357" spans="1:7" x14ac:dyDescent="0.25">
      <c r="A357" s="27">
        <v>20</v>
      </c>
      <c r="B357" s="27">
        <v>26</v>
      </c>
      <c r="C357">
        <v>4.0999999999999996</v>
      </c>
      <c r="D357">
        <f t="shared" si="15"/>
        <v>546</v>
      </c>
      <c r="F357">
        <f t="shared" si="16"/>
        <v>21</v>
      </c>
      <c r="G357">
        <f t="shared" si="17"/>
        <v>0</v>
      </c>
    </row>
    <row r="358" spans="1:7" x14ac:dyDescent="0.25">
      <c r="A358" s="27">
        <v>21</v>
      </c>
      <c r="B358" s="27">
        <v>21</v>
      </c>
      <c r="C358">
        <v>0</v>
      </c>
      <c r="D358">
        <f t="shared" si="15"/>
        <v>567</v>
      </c>
      <c r="F358">
        <f t="shared" si="16"/>
        <v>21</v>
      </c>
      <c r="G358">
        <f t="shared" si="17"/>
        <v>21</v>
      </c>
    </row>
    <row r="359" spans="1:7" x14ac:dyDescent="0.25">
      <c r="A359" s="27">
        <v>21</v>
      </c>
      <c r="B359" s="27">
        <v>22</v>
      </c>
      <c r="C359">
        <v>4.4000000000000004</v>
      </c>
      <c r="D359">
        <f t="shared" si="15"/>
        <v>568</v>
      </c>
      <c r="F359">
        <f t="shared" si="16"/>
        <v>21</v>
      </c>
      <c r="G359">
        <f t="shared" si="17"/>
        <v>22</v>
      </c>
    </row>
    <row r="360" spans="1:7" x14ac:dyDescent="0.25">
      <c r="A360" s="27">
        <v>21</v>
      </c>
      <c r="B360" s="27">
        <v>23</v>
      </c>
      <c r="C360">
        <v>7.9</v>
      </c>
      <c r="D360">
        <f t="shared" si="15"/>
        <v>569</v>
      </c>
      <c r="F360">
        <f t="shared" si="16"/>
        <v>21</v>
      </c>
      <c r="G360">
        <f t="shared" si="17"/>
        <v>23</v>
      </c>
    </row>
    <row r="361" spans="1:7" x14ac:dyDescent="0.25">
      <c r="A361" s="27">
        <v>21</v>
      </c>
      <c r="B361" s="27">
        <v>24</v>
      </c>
      <c r="C361">
        <v>3.4</v>
      </c>
      <c r="D361">
        <f t="shared" si="15"/>
        <v>570</v>
      </c>
      <c r="F361">
        <f t="shared" si="16"/>
        <v>21</v>
      </c>
      <c r="G361">
        <f t="shared" si="17"/>
        <v>24</v>
      </c>
    </row>
    <row r="362" spans="1:7" x14ac:dyDescent="0.25">
      <c r="A362" s="27">
        <v>21</v>
      </c>
      <c r="B362" s="27">
        <v>25</v>
      </c>
      <c r="C362">
        <v>7.9</v>
      </c>
      <c r="D362">
        <f t="shared" si="15"/>
        <v>571</v>
      </c>
      <c r="F362">
        <f t="shared" si="16"/>
        <v>21</v>
      </c>
      <c r="G362">
        <f t="shared" si="17"/>
        <v>25</v>
      </c>
    </row>
    <row r="363" spans="1:7" x14ac:dyDescent="0.25">
      <c r="A363" s="27">
        <v>21</v>
      </c>
      <c r="B363" s="27">
        <v>26</v>
      </c>
      <c r="C363">
        <v>4.7</v>
      </c>
      <c r="D363">
        <f t="shared" si="15"/>
        <v>572</v>
      </c>
      <c r="F363">
        <f t="shared" si="16"/>
        <v>22</v>
      </c>
      <c r="G363">
        <f t="shared" si="17"/>
        <v>0</v>
      </c>
    </row>
    <row r="364" spans="1:7" x14ac:dyDescent="0.25">
      <c r="A364" s="27">
        <v>22</v>
      </c>
      <c r="B364" s="27">
        <v>22</v>
      </c>
      <c r="C364">
        <v>0</v>
      </c>
      <c r="D364">
        <f t="shared" si="15"/>
        <v>594</v>
      </c>
      <c r="F364">
        <f t="shared" si="16"/>
        <v>22</v>
      </c>
      <c r="G364">
        <f t="shared" si="17"/>
        <v>22</v>
      </c>
    </row>
    <row r="365" spans="1:7" x14ac:dyDescent="0.25">
      <c r="A365" s="27">
        <v>22</v>
      </c>
      <c r="B365" s="27">
        <v>23</v>
      </c>
      <c r="C365">
        <v>4.5</v>
      </c>
      <c r="D365">
        <f t="shared" si="15"/>
        <v>595</v>
      </c>
      <c r="F365">
        <f t="shared" si="16"/>
        <v>22</v>
      </c>
      <c r="G365">
        <f t="shared" si="17"/>
        <v>23</v>
      </c>
    </row>
    <row r="366" spans="1:7" x14ac:dyDescent="0.25">
      <c r="A366" s="27">
        <v>22</v>
      </c>
      <c r="B366" s="27">
        <v>24</v>
      </c>
      <c r="C366">
        <v>1.7</v>
      </c>
      <c r="D366">
        <f t="shared" si="15"/>
        <v>596</v>
      </c>
      <c r="F366">
        <f t="shared" si="16"/>
        <v>22</v>
      </c>
      <c r="G366">
        <f t="shared" si="17"/>
        <v>24</v>
      </c>
    </row>
    <row r="367" spans="1:7" x14ac:dyDescent="0.25">
      <c r="A367" s="27">
        <v>22</v>
      </c>
      <c r="B367" s="27">
        <v>25</v>
      </c>
      <c r="C367">
        <v>6.8</v>
      </c>
      <c r="D367">
        <f t="shared" si="15"/>
        <v>597</v>
      </c>
      <c r="F367">
        <f t="shared" si="16"/>
        <v>22</v>
      </c>
      <c r="G367">
        <f t="shared" si="17"/>
        <v>25</v>
      </c>
    </row>
    <row r="368" spans="1:7" x14ac:dyDescent="0.25">
      <c r="A368" s="27">
        <v>22</v>
      </c>
      <c r="B368" s="27">
        <v>26</v>
      </c>
      <c r="C368">
        <v>3.1</v>
      </c>
      <c r="D368">
        <f t="shared" si="15"/>
        <v>598</v>
      </c>
      <c r="F368">
        <f t="shared" si="16"/>
        <v>23</v>
      </c>
      <c r="G368">
        <f t="shared" si="17"/>
        <v>0</v>
      </c>
    </row>
    <row r="369" spans="1:7" x14ac:dyDescent="0.25">
      <c r="A369" s="27">
        <v>23</v>
      </c>
      <c r="B369" s="27">
        <v>23</v>
      </c>
      <c r="C369">
        <v>0</v>
      </c>
      <c r="D369">
        <f t="shared" si="15"/>
        <v>621</v>
      </c>
      <c r="F369">
        <f t="shared" si="16"/>
        <v>23</v>
      </c>
      <c r="G369">
        <f t="shared" si="17"/>
        <v>23</v>
      </c>
    </row>
    <row r="370" spans="1:7" x14ac:dyDescent="0.25">
      <c r="A370" s="27">
        <v>23</v>
      </c>
      <c r="B370" s="27">
        <v>24</v>
      </c>
      <c r="C370">
        <v>5.4</v>
      </c>
      <c r="D370">
        <f t="shared" si="15"/>
        <v>622</v>
      </c>
      <c r="F370">
        <f t="shared" si="16"/>
        <v>23</v>
      </c>
      <c r="G370">
        <f t="shared" si="17"/>
        <v>24</v>
      </c>
    </row>
    <row r="371" spans="1:7" x14ac:dyDescent="0.25">
      <c r="A371" s="27">
        <v>23</v>
      </c>
      <c r="B371" s="27">
        <v>25</v>
      </c>
      <c r="C371">
        <v>10.6</v>
      </c>
      <c r="D371">
        <f t="shared" si="15"/>
        <v>623</v>
      </c>
      <c r="F371">
        <f t="shared" si="16"/>
        <v>23</v>
      </c>
      <c r="G371">
        <f t="shared" si="17"/>
        <v>25</v>
      </c>
    </row>
    <row r="372" spans="1:7" x14ac:dyDescent="0.25">
      <c r="A372" s="27">
        <v>23</v>
      </c>
      <c r="B372" s="27">
        <v>26</v>
      </c>
      <c r="C372">
        <v>7.8</v>
      </c>
      <c r="D372">
        <f t="shared" si="15"/>
        <v>624</v>
      </c>
      <c r="F372">
        <f t="shared" si="16"/>
        <v>24</v>
      </c>
      <c r="G372">
        <f t="shared" si="17"/>
        <v>0</v>
      </c>
    </row>
    <row r="373" spans="1:7" x14ac:dyDescent="0.25">
      <c r="A373" s="27">
        <v>24</v>
      </c>
      <c r="B373" s="27">
        <v>24</v>
      </c>
      <c r="C373">
        <v>0</v>
      </c>
      <c r="D373">
        <f t="shared" si="15"/>
        <v>648</v>
      </c>
      <c r="F373">
        <f t="shared" si="16"/>
        <v>24</v>
      </c>
      <c r="G373">
        <f t="shared" si="17"/>
        <v>24</v>
      </c>
    </row>
    <row r="374" spans="1:7" x14ac:dyDescent="0.25">
      <c r="A374" s="27">
        <v>24</v>
      </c>
      <c r="B374" s="27">
        <v>25</v>
      </c>
      <c r="C374">
        <v>7</v>
      </c>
      <c r="D374">
        <f t="shared" si="15"/>
        <v>649</v>
      </c>
      <c r="F374">
        <f t="shared" si="16"/>
        <v>24</v>
      </c>
      <c r="G374">
        <f t="shared" si="17"/>
        <v>25</v>
      </c>
    </row>
    <row r="375" spans="1:7" x14ac:dyDescent="0.25">
      <c r="A375" s="27">
        <v>24</v>
      </c>
      <c r="B375" s="27">
        <v>26</v>
      </c>
      <c r="C375">
        <v>1.3</v>
      </c>
      <c r="D375">
        <f t="shared" si="15"/>
        <v>650</v>
      </c>
      <c r="F375">
        <f t="shared" si="16"/>
        <v>25</v>
      </c>
      <c r="G375">
        <f t="shared" si="17"/>
        <v>0</v>
      </c>
    </row>
    <row r="376" spans="1:7" x14ac:dyDescent="0.25">
      <c r="A376" s="27">
        <v>25</v>
      </c>
      <c r="B376" s="27">
        <v>25</v>
      </c>
      <c r="C376">
        <v>0</v>
      </c>
      <c r="D376">
        <f t="shared" si="15"/>
        <v>675</v>
      </c>
      <c r="F376">
        <f t="shared" si="16"/>
        <v>25</v>
      </c>
      <c r="G376">
        <f t="shared" si="17"/>
        <v>25</v>
      </c>
    </row>
    <row r="377" spans="1:7" x14ac:dyDescent="0.25">
      <c r="A377" s="27">
        <v>25</v>
      </c>
      <c r="B377" s="27">
        <v>26</v>
      </c>
      <c r="C377">
        <v>8.3000000000000007</v>
      </c>
      <c r="D377">
        <f t="shared" si="15"/>
        <v>676</v>
      </c>
      <c r="F377">
        <f t="shared" si="16"/>
        <v>26</v>
      </c>
      <c r="G377">
        <f t="shared" si="17"/>
        <v>0</v>
      </c>
    </row>
    <row r="378" spans="1:7" x14ac:dyDescent="0.25">
      <c r="A378" s="27">
        <v>26</v>
      </c>
      <c r="B378" s="27">
        <v>26</v>
      </c>
      <c r="C378">
        <v>0</v>
      </c>
      <c r="D378">
        <f t="shared" si="15"/>
        <v>702</v>
      </c>
      <c r="F378">
        <f t="shared" si="16"/>
        <v>27</v>
      </c>
      <c r="G378">
        <f t="shared" si="17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C8FB6-4AC1-41A3-B5CE-01B01A1493E3}">
  <sheetPr codeName="Sheet8"/>
  <dimension ref="A1:N27"/>
  <sheetViews>
    <sheetView workbookViewId="0">
      <selection activeCell="N27" sqref="G1:N27"/>
    </sheetView>
  </sheetViews>
  <sheetFormatPr defaultRowHeight="15" x14ac:dyDescent="0.25"/>
  <cols>
    <col min="2" max="2" width="41.42578125" customWidth="1"/>
    <col min="3" max="3" width="32.7109375" customWidth="1"/>
    <col min="5" max="5" width="16.7109375" customWidth="1"/>
    <col min="6" max="6" width="19.5703125" bestFit="1" customWidth="1"/>
    <col min="8" max="8" width="13.28515625" bestFit="1" customWidth="1"/>
    <col min="9" max="9" width="39.7109375" bestFit="1" customWidth="1"/>
    <col min="10" max="10" width="29.85546875" bestFit="1" customWidth="1"/>
    <col min="11" max="11" width="17.42578125" bestFit="1" customWidth="1"/>
    <col min="12" max="13" width="13.28515625" bestFit="1" customWidth="1"/>
  </cols>
  <sheetData>
    <row r="1" spans="1:14" x14ac:dyDescent="0.25">
      <c r="A1" s="29">
        <v>0</v>
      </c>
      <c r="B1" s="28" t="s">
        <v>65</v>
      </c>
      <c r="C1" s="29" t="s">
        <v>64</v>
      </c>
      <c r="D1" s="29">
        <v>84107</v>
      </c>
      <c r="E1" s="29">
        <v>0</v>
      </c>
      <c r="F1" s="29">
        <v>0</v>
      </c>
      <c r="G1" t="s">
        <v>120</v>
      </c>
      <c r="H1" t="str">
        <f>"'AddressId':" &amp; A1</f>
        <v>'AddressId':0</v>
      </c>
      <c r="I1" t="str">
        <f>"'AddressName':'" &amp; B1 &amp;"'"</f>
        <v>'AddressName':'Western Governors University'</v>
      </c>
      <c r="J1" t="str">
        <f>"'StreetAddress':'" &amp; C1 &amp;"'"</f>
        <v>'StreetAddress':'4001 South 700 East'</v>
      </c>
      <c r="K1" t="str">
        <f>"'ZipCode':'" &amp; D1 &amp;"'"</f>
        <v>'ZipCode':'84107'</v>
      </c>
      <c r="L1" t="str">
        <f>"'DistanceToHub':" &amp; E1</f>
        <v>'DistanceToHub':0</v>
      </c>
      <c r="M1" t="str">
        <f>"'TimeToHub':" &amp; F1</f>
        <v>'TimeToHub':0</v>
      </c>
      <c r="N1" t="s">
        <v>121</v>
      </c>
    </row>
    <row r="2" spans="1:14" x14ac:dyDescent="0.25">
      <c r="A2" s="29">
        <v>1</v>
      </c>
      <c r="B2" s="28" t="s">
        <v>92</v>
      </c>
      <c r="C2" s="28" t="s">
        <v>66</v>
      </c>
      <c r="D2" s="29">
        <v>84104</v>
      </c>
      <c r="E2" s="29">
        <v>7.2</v>
      </c>
      <c r="F2" s="29">
        <f>(E2/18)*60</f>
        <v>24</v>
      </c>
      <c r="G2" t="s">
        <v>120</v>
      </c>
      <c r="H2" t="str">
        <f t="shared" ref="H2:H27" si="0">"'AddressId':" &amp; A2</f>
        <v>'AddressId':1</v>
      </c>
      <c r="I2" t="str">
        <f t="shared" ref="I2:I27" si="1">"'AddressName':'" &amp; B2 &amp;"'"</f>
        <v>'AddressName':'International Peace Gardens'</v>
      </c>
      <c r="J2" t="str">
        <f t="shared" ref="J2:J27" si="2">"'StreetAddress':'" &amp; C2 &amp;"'"</f>
        <v>'StreetAddress':'1060 Dalton Ave S'</v>
      </c>
      <c r="K2" t="str">
        <f t="shared" ref="K2:K27" si="3">"'ZipCode':'" &amp; D2 &amp;"'"</f>
        <v>'ZipCode':'84104'</v>
      </c>
      <c r="L2" t="str">
        <f t="shared" ref="L2:L27" si="4">"'DistanceToHub':" &amp; E2</f>
        <v>'DistanceToHub':7.2</v>
      </c>
      <c r="M2" t="str">
        <f t="shared" ref="M2:M27" si="5">"'TimeToHub':" &amp; F2</f>
        <v>'TimeToHub':24</v>
      </c>
      <c r="N2" t="s">
        <v>121</v>
      </c>
    </row>
    <row r="3" spans="1:14" x14ac:dyDescent="0.25">
      <c r="A3" s="29">
        <v>2</v>
      </c>
      <c r="B3" s="28" t="s">
        <v>93</v>
      </c>
      <c r="C3" s="28" t="s">
        <v>67</v>
      </c>
      <c r="D3" s="29">
        <v>84106</v>
      </c>
      <c r="E3" s="29">
        <v>3.8</v>
      </c>
      <c r="F3" s="29">
        <f t="shared" ref="F3:F27" si="6">(E3/18)*60</f>
        <v>12.666666666666666</v>
      </c>
      <c r="G3" t="s">
        <v>120</v>
      </c>
      <c r="H3" t="str">
        <f t="shared" si="0"/>
        <v>'AddressId':2</v>
      </c>
      <c r="I3" t="str">
        <f t="shared" si="1"/>
        <v>'AddressName':'Sugar House Park'</v>
      </c>
      <c r="J3" t="str">
        <f t="shared" si="2"/>
        <v>'StreetAddress':'1330 2100 S'</v>
      </c>
      <c r="K3" t="str">
        <f t="shared" si="3"/>
        <v>'ZipCode':'84106'</v>
      </c>
      <c r="L3" t="str">
        <f t="shared" si="4"/>
        <v>'DistanceToHub':3.8</v>
      </c>
      <c r="M3" t="str">
        <f t="shared" si="5"/>
        <v>'TimeToHub':12.6666666666667</v>
      </c>
      <c r="N3" t="s">
        <v>121</v>
      </c>
    </row>
    <row r="4" spans="1:14" x14ac:dyDescent="0.25">
      <c r="A4" s="29">
        <v>3</v>
      </c>
      <c r="B4" s="28" t="s">
        <v>94</v>
      </c>
      <c r="C4" s="28" t="s">
        <v>68</v>
      </c>
      <c r="D4" s="29">
        <v>84123</v>
      </c>
      <c r="E4" s="29">
        <v>11</v>
      </c>
      <c r="F4" s="29">
        <f t="shared" si="6"/>
        <v>36.666666666666671</v>
      </c>
      <c r="G4" t="s">
        <v>120</v>
      </c>
      <c r="H4" t="str">
        <f t="shared" si="0"/>
        <v>'AddressId':3</v>
      </c>
      <c r="I4" t="str">
        <f t="shared" si="1"/>
        <v>'AddressName':'Taylorsville-Bennion Heritage City Gov Off'</v>
      </c>
      <c r="J4" t="str">
        <f t="shared" si="2"/>
        <v>'StreetAddress':'1488 4800 S'</v>
      </c>
      <c r="K4" t="str">
        <f t="shared" si="3"/>
        <v>'ZipCode':'84123'</v>
      </c>
      <c r="L4" t="str">
        <f t="shared" si="4"/>
        <v>'DistanceToHub':11</v>
      </c>
      <c r="M4" t="str">
        <f t="shared" si="5"/>
        <v>'TimeToHub':36.6666666666667</v>
      </c>
      <c r="N4" t="s">
        <v>121</v>
      </c>
    </row>
    <row r="5" spans="1:14" x14ac:dyDescent="0.25">
      <c r="A5" s="29">
        <v>4</v>
      </c>
      <c r="B5" s="28" t="s">
        <v>95</v>
      </c>
      <c r="C5" s="28" t="s">
        <v>69</v>
      </c>
      <c r="D5" s="29">
        <v>84115</v>
      </c>
      <c r="E5" s="29">
        <v>2.2000000000000002</v>
      </c>
      <c r="F5" s="29">
        <f t="shared" si="6"/>
        <v>7.3333333333333339</v>
      </c>
      <c r="G5" t="s">
        <v>120</v>
      </c>
      <c r="H5" t="str">
        <f t="shared" si="0"/>
        <v>'AddressId':4</v>
      </c>
      <c r="I5" t="str">
        <f t="shared" si="1"/>
        <v>'AddressName':'Salt Lake City Division of Health Services'</v>
      </c>
      <c r="J5" t="str">
        <f t="shared" si="2"/>
        <v>'StreetAddress':'177 W Price Ave'</v>
      </c>
      <c r="K5" t="str">
        <f t="shared" si="3"/>
        <v>'ZipCode':'84115'</v>
      </c>
      <c r="L5" t="str">
        <f t="shared" si="4"/>
        <v>'DistanceToHub':2.2</v>
      </c>
      <c r="M5" t="str">
        <f t="shared" si="5"/>
        <v>'TimeToHub':7.33333333333333</v>
      </c>
      <c r="N5" t="s">
        <v>121</v>
      </c>
    </row>
    <row r="6" spans="1:14" x14ac:dyDescent="0.25">
      <c r="A6" s="29">
        <v>5</v>
      </c>
      <c r="B6" s="28" t="s">
        <v>96</v>
      </c>
      <c r="C6" s="28" t="s">
        <v>70</v>
      </c>
      <c r="D6" s="29">
        <v>84115</v>
      </c>
      <c r="E6" s="29">
        <v>3.5</v>
      </c>
      <c r="F6" s="29">
        <f t="shared" si="6"/>
        <v>11.666666666666666</v>
      </c>
      <c r="G6" t="s">
        <v>120</v>
      </c>
      <c r="H6" t="str">
        <f t="shared" si="0"/>
        <v>'AddressId':5</v>
      </c>
      <c r="I6" t="str">
        <f t="shared" si="1"/>
        <v>'AddressName':'South Salt Lake Public Works'</v>
      </c>
      <c r="J6" t="str">
        <f t="shared" si="2"/>
        <v>'StreetAddress':'195 W Oakland Ave'</v>
      </c>
      <c r="K6" t="str">
        <f t="shared" si="3"/>
        <v>'ZipCode':'84115'</v>
      </c>
      <c r="L6" t="str">
        <f t="shared" si="4"/>
        <v>'DistanceToHub':3.5</v>
      </c>
      <c r="M6" t="str">
        <f t="shared" si="5"/>
        <v>'TimeToHub':11.6666666666667</v>
      </c>
      <c r="N6" t="s">
        <v>121</v>
      </c>
    </row>
    <row r="7" spans="1:14" x14ac:dyDescent="0.25">
      <c r="A7" s="29">
        <v>6</v>
      </c>
      <c r="B7" s="28" t="s">
        <v>97</v>
      </c>
      <c r="C7" s="28" t="s">
        <v>71</v>
      </c>
      <c r="D7" s="29">
        <v>84104</v>
      </c>
      <c r="E7" s="29">
        <v>10.9</v>
      </c>
      <c r="F7" s="29">
        <f t="shared" si="6"/>
        <v>36.333333333333336</v>
      </c>
      <c r="G7" t="s">
        <v>120</v>
      </c>
      <c r="H7" t="str">
        <f t="shared" si="0"/>
        <v>'AddressId':6</v>
      </c>
      <c r="I7" t="str">
        <f t="shared" si="1"/>
        <v>'AddressName':'Salt Lake City Streets and Sanitation'</v>
      </c>
      <c r="J7" t="str">
        <f t="shared" si="2"/>
        <v>'StreetAddress':'2010 W 500 S'</v>
      </c>
      <c r="K7" t="str">
        <f t="shared" si="3"/>
        <v>'ZipCode':'84104'</v>
      </c>
      <c r="L7" t="str">
        <f t="shared" si="4"/>
        <v>'DistanceToHub':10.9</v>
      </c>
      <c r="M7" t="str">
        <f t="shared" si="5"/>
        <v>'TimeToHub':36.3333333333333</v>
      </c>
      <c r="N7" t="s">
        <v>121</v>
      </c>
    </row>
    <row r="8" spans="1:14" x14ac:dyDescent="0.25">
      <c r="A8" s="29">
        <v>7</v>
      </c>
      <c r="B8" s="28" t="s">
        <v>98</v>
      </c>
      <c r="C8" s="28" t="s">
        <v>72</v>
      </c>
      <c r="D8" s="29">
        <v>84119</v>
      </c>
      <c r="E8" s="29">
        <v>8.6</v>
      </c>
      <c r="F8" s="29">
        <f t="shared" si="6"/>
        <v>28.666666666666664</v>
      </c>
      <c r="G8" t="s">
        <v>120</v>
      </c>
      <c r="H8" t="str">
        <f t="shared" si="0"/>
        <v>'AddressId':7</v>
      </c>
      <c r="I8" t="str">
        <f t="shared" si="1"/>
        <v>'AddressName':'Deker Lake'</v>
      </c>
      <c r="J8" t="str">
        <f t="shared" si="2"/>
        <v>'StreetAddress':'2300 Parkway Blvd'</v>
      </c>
      <c r="K8" t="str">
        <f t="shared" si="3"/>
        <v>'ZipCode':'84119'</v>
      </c>
      <c r="L8" t="str">
        <f t="shared" si="4"/>
        <v>'DistanceToHub':8.6</v>
      </c>
      <c r="M8" t="str">
        <f t="shared" si="5"/>
        <v>'TimeToHub':28.6666666666667</v>
      </c>
      <c r="N8" t="s">
        <v>121</v>
      </c>
    </row>
    <row r="9" spans="1:14" x14ac:dyDescent="0.25">
      <c r="A9" s="29">
        <v>8</v>
      </c>
      <c r="B9" s="28" t="s">
        <v>99</v>
      </c>
      <c r="C9" s="28" t="s">
        <v>73</v>
      </c>
      <c r="D9" s="29">
        <v>84103</v>
      </c>
      <c r="E9" s="29">
        <v>7.6</v>
      </c>
      <c r="F9" s="29">
        <f t="shared" si="6"/>
        <v>25.333333333333332</v>
      </c>
      <c r="G9" t="s">
        <v>120</v>
      </c>
      <c r="H9" t="str">
        <f t="shared" si="0"/>
        <v>'AddressId':8</v>
      </c>
      <c r="I9" t="str">
        <f t="shared" si="1"/>
        <v>'AddressName':'Salt Lake City Ottinger Hall'</v>
      </c>
      <c r="J9" t="str">
        <f t="shared" si="2"/>
        <v>'StreetAddress':'233 Canyon Rd'</v>
      </c>
      <c r="K9" t="str">
        <f t="shared" si="3"/>
        <v>'ZipCode':'84103'</v>
      </c>
      <c r="L9" t="str">
        <f t="shared" si="4"/>
        <v>'DistanceToHub':7.6</v>
      </c>
      <c r="M9" t="str">
        <f t="shared" si="5"/>
        <v>'TimeToHub':25.3333333333333</v>
      </c>
      <c r="N9" t="s">
        <v>121</v>
      </c>
    </row>
    <row r="10" spans="1:14" x14ac:dyDescent="0.25">
      <c r="A10" s="29">
        <v>9</v>
      </c>
      <c r="B10" s="28" t="s">
        <v>117</v>
      </c>
      <c r="C10" s="28" t="s">
        <v>74</v>
      </c>
      <c r="D10" s="29">
        <v>84106</v>
      </c>
      <c r="E10" s="29">
        <v>2.8</v>
      </c>
      <c r="F10" s="29">
        <f t="shared" si="6"/>
        <v>9.3333333333333339</v>
      </c>
      <c r="G10" t="s">
        <v>120</v>
      </c>
      <c r="H10" t="str">
        <f t="shared" si="0"/>
        <v>'AddressId':9</v>
      </c>
      <c r="I10" t="str">
        <f t="shared" si="1"/>
        <v>'AddressName':'Columbus Library'</v>
      </c>
      <c r="J10" t="str">
        <f t="shared" si="2"/>
        <v>'StreetAddress':'2530 S 500 E'</v>
      </c>
      <c r="K10" t="str">
        <f t="shared" si="3"/>
        <v>'ZipCode':'84106'</v>
      </c>
      <c r="L10" t="str">
        <f t="shared" si="4"/>
        <v>'DistanceToHub':2.8</v>
      </c>
      <c r="M10" t="str">
        <f t="shared" si="5"/>
        <v>'TimeToHub':9.33333333333333</v>
      </c>
      <c r="N10" t="s">
        <v>121</v>
      </c>
    </row>
    <row r="11" spans="1:14" x14ac:dyDescent="0.25">
      <c r="A11" s="29">
        <v>10</v>
      </c>
      <c r="B11" s="28" t="s">
        <v>116</v>
      </c>
      <c r="C11" s="28" t="s">
        <v>75</v>
      </c>
      <c r="D11" s="29">
        <v>84118</v>
      </c>
      <c r="E11" s="29">
        <v>6.4</v>
      </c>
      <c r="F11" s="29">
        <f t="shared" si="6"/>
        <v>21.333333333333336</v>
      </c>
      <c r="G11" t="s">
        <v>120</v>
      </c>
      <c r="H11" t="str">
        <f t="shared" si="0"/>
        <v>'AddressId':10</v>
      </c>
      <c r="I11" t="str">
        <f t="shared" si="1"/>
        <v>'AddressName':'Taylorsville City Hall'</v>
      </c>
      <c r="J11" t="str">
        <f t="shared" si="2"/>
        <v>'StreetAddress':'2600 Taylorsville Blvd'</v>
      </c>
      <c r="K11" t="str">
        <f t="shared" si="3"/>
        <v>'ZipCode':'84118'</v>
      </c>
      <c r="L11" t="str">
        <f t="shared" si="4"/>
        <v>'DistanceToHub':6.4</v>
      </c>
      <c r="M11" t="str">
        <f t="shared" si="5"/>
        <v>'TimeToHub':21.3333333333333</v>
      </c>
      <c r="N11" t="s">
        <v>121</v>
      </c>
    </row>
    <row r="12" spans="1:14" x14ac:dyDescent="0.25">
      <c r="A12" s="29">
        <v>11</v>
      </c>
      <c r="B12" s="28" t="s">
        <v>115</v>
      </c>
      <c r="C12" s="28" t="s">
        <v>76</v>
      </c>
      <c r="D12" s="29">
        <v>84115</v>
      </c>
      <c r="E12" s="29">
        <v>3.2</v>
      </c>
      <c r="F12" s="29">
        <f t="shared" si="6"/>
        <v>10.666666666666668</v>
      </c>
      <c r="G12" t="s">
        <v>120</v>
      </c>
      <c r="H12" t="str">
        <f t="shared" si="0"/>
        <v>'AddressId':11</v>
      </c>
      <c r="I12" t="str">
        <f t="shared" si="1"/>
        <v>'AddressName':'South Salt Lake Police'</v>
      </c>
      <c r="J12" t="str">
        <f t="shared" si="2"/>
        <v>'StreetAddress':'2835 Main St'</v>
      </c>
      <c r="K12" t="str">
        <f t="shared" si="3"/>
        <v>'ZipCode':'84115'</v>
      </c>
      <c r="L12" t="str">
        <f t="shared" si="4"/>
        <v>'DistanceToHub':3.2</v>
      </c>
      <c r="M12" t="str">
        <f t="shared" si="5"/>
        <v>'TimeToHub':10.6666666666667</v>
      </c>
      <c r="N12" t="s">
        <v>121</v>
      </c>
    </row>
    <row r="13" spans="1:14" x14ac:dyDescent="0.25">
      <c r="A13" s="29">
        <v>12</v>
      </c>
      <c r="B13" s="28" t="s">
        <v>114</v>
      </c>
      <c r="C13" s="28" t="s">
        <v>77</v>
      </c>
      <c r="D13" s="29">
        <v>84103</v>
      </c>
      <c r="E13" s="29">
        <v>7.6</v>
      </c>
      <c r="F13" s="29">
        <f t="shared" si="6"/>
        <v>25.333333333333332</v>
      </c>
      <c r="G13" t="s">
        <v>120</v>
      </c>
      <c r="H13" t="str">
        <f t="shared" si="0"/>
        <v>'AddressId':12</v>
      </c>
      <c r="I13" t="str">
        <f t="shared" si="1"/>
        <v>'AddressName':'Council Hall'</v>
      </c>
      <c r="J13" t="str">
        <f t="shared" si="2"/>
        <v>'StreetAddress':'300 State St'</v>
      </c>
      <c r="K13" t="str">
        <f t="shared" si="3"/>
        <v>'ZipCode':'84103'</v>
      </c>
      <c r="L13" t="str">
        <f t="shared" si="4"/>
        <v>'DistanceToHub':7.6</v>
      </c>
      <c r="M13" t="str">
        <f t="shared" si="5"/>
        <v>'TimeToHub':25.3333333333333</v>
      </c>
      <c r="N13" t="s">
        <v>121</v>
      </c>
    </row>
    <row r="14" spans="1:14" x14ac:dyDescent="0.25">
      <c r="A14" s="29">
        <v>13</v>
      </c>
      <c r="B14" s="28" t="s">
        <v>113</v>
      </c>
      <c r="C14" s="28" t="s">
        <v>78</v>
      </c>
      <c r="D14" s="29">
        <v>84119</v>
      </c>
      <c r="E14" s="29">
        <v>5.2</v>
      </c>
      <c r="F14" s="29">
        <f t="shared" si="6"/>
        <v>17.333333333333336</v>
      </c>
      <c r="G14" t="s">
        <v>120</v>
      </c>
      <c r="H14" t="str">
        <f t="shared" si="0"/>
        <v>'AddressId':13</v>
      </c>
      <c r="I14" t="str">
        <f t="shared" si="1"/>
        <v>'AddressName':'Redwood Park'</v>
      </c>
      <c r="J14" t="str">
        <f t="shared" si="2"/>
        <v>'StreetAddress':'3060 Lester St'</v>
      </c>
      <c r="K14" t="str">
        <f t="shared" si="3"/>
        <v>'ZipCode':'84119'</v>
      </c>
      <c r="L14" t="str">
        <f t="shared" si="4"/>
        <v>'DistanceToHub':5.2</v>
      </c>
      <c r="M14" t="str">
        <f t="shared" si="5"/>
        <v>'TimeToHub':17.3333333333333</v>
      </c>
      <c r="N14" t="s">
        <v>121</v>
      </c>
    </row>
    <row r="15" spans="1:14" x14ac:dyDescent="0.25">
      <c r="A15" s="29">
        <v>14</v>
      </c>
      <c r="B15" s="28" t="s">
        <v>112</v>
      </c>
      <c r="C15" s="28" t="s">
        <v>79</v>
      </c>
      <c r="D15" s="29">
        <v>84119</v>
      </c>
      <c r="E15" s="29">
        <v>4.4000000000000004</v>
      </c>
      <c r="F15" s="29">
        <f t="shared" si="6"/>
        <v>14.666666666666668</v>
      </c>
      <c r="G15" t="s">
        <v>120</v>
      </c>
      <c r="H15" t="str">
        <f t="shared" si="0"/>
        <v>'AddressId':14</v>
      </c>
      <c r="I15" t="str">
        <f t="shared" si="1"/>
        <v>'AddressName':'Salt Lake County Mental Health'</v>
      </c>
      <c r="J15" t="str">
        <f t="shared" si="2"/>
        <v>'StreetAddress':'3148 S 1100 W'</v>
      </c>
      <c r="K15" t="str">
        <f t="shared" si="3"/>
        <v>'ZipCode':'84119'</v>
      </c>
      <c r="L15" t="str">
        <f t="shared" si="4"/>
        <v>'DistanceToHub':4.4</v>
      </c>
      <c r="M15" t="str">
        <f t="shared" si="5"/>
        <v>'TimeToHub':14.6666666666667</v>
      </c>
      <c r="N15" t="s">
        <v>121</v>
      </c>
    </row>
    <row r="16" spans="1:14" x14ac:dyDescent="0.25">
      <c r="A16" s="29">
        <v>15</v>
      </c>
      <c r="B16" s="28" t="s">
        <v>111</v>
      </c>
      <c r="C16" s="28" t="s">
        <v>80</v>
      </c>
      <c r="D16" s="29">
        <v>84119</v>
      </c>
      <c r="E16" s="29">
        <v>3.66112816434</v>
      </c>
      <c r="F16" s="29">
        <f t="shared" si="6"/>
        <v>12.2037605478</v>
      </c>
      <c r="G16" t="s">
        <v>120</v>
      </c>
      <c r="H16" t="str">
        <f t="shared" si="0"/>
        <v>'AddressId':15</v>
      </c>
      <c r="I16" t="str">
        <f t="shared" si="1"/>
        <v>'AddressName':'Salt Lake County/United Police Dept'</v>
      </c>
      <c r="J16" t="str">
        <f t="shared" si="2"/>
        <v>'StreetAddress':'3365 S 900 W'</v>
      </c>
      <c r="K16" t="str">
        <f t="shared" si="3"/>
        <v>'ZipCode':'84119'</v>
      </c>
      <c r="L16" t="str">
        <f t="shared" si="4"/>
        <v>'DistanceToHub':3.66112816434</v>
      </c>
      <c r="M16" t="str">
        <f t="shared" si="5"/>
        <v>'TimeToHub':12.2037605478</v>
      </c>
      <c r="N16" t="s">
        <v>121</v>
      </c>
    </row>
    <row r="17" spans="1:14" x14ac:dyDescent="0.25">
      <c r="A17" s="29">
        <v>16</v>
      </c>
      <c r="B17" s="28" t="s">
        <v>110</v>
      </c>
      <c r="C17" s="28" t="s">
        <v>81</v>
      </c>
      <c r="D17" s="29">
        <v>84119</v>
      </c>
      <c r="E17" s="29">
        <v>7.6</v>
      </c>
      <c r="F17" s="29">
        <f t="shared" si="6"/>
        <v>25.333333333333332</v>
      </c>
      <c r="G17" t="s">
        <v>120</v>
      </c>
      <c r="H17" t="str">
        <f t="shared" si="0"/>
        <v>'AddressId':16</v>
      </c>
      <c r="I17" t="str">
        <f t="shared" si="1"/>
        <v>'AddressName':'West Valley Prosecutor'</v>
      </c>
      <c r="J17" t="str">
        <f t="shared" si="2"/>
        <v>'StreetAddress':'3575 W Valley Central Station bus Loop'</v>
      </c>
      <c r="K17" t="str">
        <f t="shared" si="3"/>
        <v>'ZipCode':'84119'</v>
      </c>
      <c r="L17" t="str">
        <f t="shared" si="4"/>
        <v>'DistanceToHub':7.6</v>
      </c>
      <c r="M17" t="str">
        <f t="shared" si="5"/>
        <v>'TimeToHub':25.3333333333333</v>
      </c>
      <c r="N17" t="s">
        <v>121</v>
      </c>
    </row>
    <row r="18" spans="1:14" x14ac:dyDescent="0.25">
      <c r="A18" s="29">
        <v>17</v>
      </c>
      <c r="B18" s="28" t="s">
        <v>109</v>
      </c>
      <c r="C18" s="28" t="s">
        <v>82</v>
      </c>
      <c r="D18" s="29">
        <v>84115</v>
      </c>
      <c r="E18" s="29">
        <v>2</v>
      </c>
      <c r="F18" s="29">
        <f t="shared" si="6"/>
        <v>6.6666666666666661</v>
      </c>
      <c r="G18" t="s">
        <v>120</v>
      </c>
      <c r="H18" t="str">
        <f t="shared" si="0"/>
        <v>'AddressId':17</v>
      </c>
      <c r="I18" t="str">
        <f t="shared" si="1"/>
        <v>'AddressName':'Housing Auth. of Salt Lake County'</v>
      </c>
      <c r="J18" t="str">
        <f t="shared" si="2"/>
        <v>'StreetAddress':'3595 Main St'</v>
      </c>
      <c r="K18" t="str">
        <f t="shared" si="3"/>
        <v>'ZipCode':'84115'</v>
      </c>
      <c r="L18" t="str">
        <f t="shared" si="4"/>
        <v>'DistanceToHub':2</v>
      </c>
      <c r="M18" t="str">
        <f t="shared" si="5"/>
        <v>'TimeToHub':6.66666666666667</v>
      </c>
      <c r="N18" t="s">
        <v>121</v>
      </c>
    </row>
    <row r="19" spans="1:14" x14ac:dyDescent="0.25">
      <c r="A19" s="29">
        <v>18</v>
      </c>
      <c r="B19" s="28" t="s">
        <v>108</v>
      </c>
      <c r="C19" s="28" t="s">
        <v>83</v>
      </c>
      <c r="D19" s="29">
        <v>84115</v>
      </c>
      <c r="E19" s="29">
        <v>3.6</v>
      </c>
      <c r="F19" s="29">
        <f t="shared" si="6"/>
        <v>12</v>
      </c>
      <c r="G19" t="s">
        <v>120</v>
      </c>
      <c r="H19" t="str">
        <f t="shared" si="0"/>
        <v>'AddressId':18</v>
      </c>
      <c r="I19" t="str">
        <f t="shared" si="1"/>
        <v>'AddressName':'Utah DMV Administrative Office'</v>
      </c>
      <c r="J19" t="str">
        <f t="shared" si="2"/>
        <v>'StreetAddress':'380 W 2880 S'</v>
      </c>
      <c r="K19" t="str">
        <f t="shared" si="3"/>
        <v>'ZipCode':'84115'</v>
      </c>
      <c r="L19" t="str">
        <f t="shared" si="4"/>
        <v>'DistanceToHub':3.6</v>
      </c>
      <c r="M19" t="str">
        <f t="shared" si="5"/>
        <v>'TimeToHub':12</v>
      </c>
      <c r="N19" t="s">
        <v>121</v>
      </c>
    </row>
    <row r="20" spans="1:14" x14ac:dyDescent="0.25">
      <c r="A20" s="29">
        <v>19</v>
      </c>
      <c r="B20" s="28" t="s">
        <v>107</v>
      </c>
      <c r="C20" s="28" t="s">
        <v>84</v>
      </c>
      <c r="D20" s="29">
        <v>84111</v>
      </c>
      <c r="E20" s="29">
        <v>6.5</v>
      </c>
      <c r="F20" s="29">
        <f t="shared" si="6"/>
        <v>21.666666666666668</v>
      </c>
      <c r="G20" t="s">
        <v>120</v>
      </c>
      <c r="H20" t="str">
        <f t="shared" si="0"/>
        <v>'AddressId':19</v>
      </c>
      <c r="I20" t="str">
        <f t="shared" si="1"/>
        <v>'AddressName':'Third District Juvenile Court'</v>
      </c>
      <c r="J20" t="str">
        <f t="shared" si="2"/>
        <v>'StreetAddress':'410 S State St'</v>
      </c>
      <c r="K20" t="str">
        <f t="shared" si="3"/>
        <v>'ZipCode':'84111'</v>
      </c>
      <c r="L20" t="str">
        <f t="shared" si="4"/>
        <v>'DistanceToHub':6.5</v>
      </c>
      <c r="M20" t="str">
        <f t="shared" si="5"/>
        <v>'TimeToHub':21.6666666666667</v>
      </c>
      <c r="N20" t="s">
        <v>121</v>
      </c>
    </row>
    <row r="21" spans="1:14" x14ac:dyDescent="0.25">
      <c r="A21" s="29">
        <v>20</v>
      </c>
      <c r="B21" s="28" t="s">
        <v>106</v>
      </c>
      <c r="C21" s="28" t="s">
        <v>85</v>
      </c>
      <c r="D21" s="29">
        <v>84117</v>
      </c>
      <c r="E21" s="29">
        <v>1.9</v>
      </c>
      <c r="F21" s="29">
        <f t="shared" si="6"/>
        <v>6.333333333333333</v>
      </c>
      <c r="G21" t="s">
        <v>120</v>
      </c>
      <c r="H21" t="str">
        <f t="shared" si="0"/>
        <v>'AddressId':20</v>
      </c>
      <c r="I21" t="str">
        <f t="shared" si="1"/>
        <v>'AddressName':'Cottonwood Regional Softball Complex'</v>
      </c>
      <c r="J21" t="str">
        <f t="shared" si="2"/>
        <v>'StreetAddress':'4300 S 1300 E'</v>
      </c>
      <c r="K21" t="str">
        <f t="shared" si="3"/>
        <v>'ZipCode':'84117'</v>
      </c>
      <c r="L21" t="str">
        <f t="shared" si="4"/>
        <v>'DistanceToHub':1.9</v>
      </c>
      <c r="M21" t="str">
        <f t="shared" si="5"/>
        <v>'TimeToHub':6.33333333333333</v>
      </c>
      <c r="N21" t="s">
        <v>121</v>
      </c>
    </row>
    <row r="22" spans="1:14" x14ac:dyDescent="0.25">
      <c r="A22" s="29">
        <v>21</v>
      </c>
      <c r="B22" s="28" t="s">
        <v>105</v>
      </c>
      <c r="C22" s="28" t="s">
        <v>86</v>
      </c>
      <c r="D22" s="29">
        <v>84117</v>
      </c>
      <c r="E22" s="29">
        <v>3.4</v>
      </c>
      <c r="F22" s="29">
        <f t="shared" si="6"/>
        <v>11.333333333333332</v>
      </c>
      <c r="G22" t="s">
        <v>120</v>
      </c>
      <c r="H22" t="str">
        <f t="shared" si="0"/>
        <v>'AddressId':21</v>
      </c>
      <c r="I22" t="str">
        <f t="shared" si="1"/>
        <v>'AddressName':'Holiday City Office'</v>
      </c>
      <c r="J22" t="str">
        <f t="shared" si="2"/>
        <v>'StreetAddress':'4580 S 2300 E'</v>
      </c>
      <c r="K22" t="str">
        <f t="shared" si="3"/>
        <v>'ZipCode':'84117'</v>
      </c>
      <c r="L22" t="str">
        <f t="shared" si="4"/>
        <v>'DistanceToHub':3.4</v>
      </c>
      <c r="M22" t="str">
        <f t="shared" si="5"/>
        <v>'TimeToHub':11.3333333333333</v>
      </c>
      <c r="N22" t="s">
        <v>121</v>
      </c>
    </row>
    <row r="23" spans="1:14" x14ac:dyDescent="0.25">
      <c r="A23" s="29">
        <v>22</v>
      </c>
      <c r="B23" s="28" t="s">
        <v>104</v>
      </c>
      <c r="C23" s="28" t="s">
        <v>87</v>
      </c>
      <c r="D23" s="29">
        <v>84107</v>
      </c>
      <c r="E23" s="29">
        <v>2.4</v>
      </c>
      <c r="F23" s="29">
        <f t="shared" si="6"/>
        <v>8</v>
      </c>
      <c r="G23" t="s">
        <v>120</v>
      </c>
      <c r="H23" t="str">
        <f t="shared" si="0"/>
        <v>'AddressId':22</v>
      </c>
      <c r="I23" t="str">
        <f t="shared" si="1"/>
        <v>'AddressName':'Murray City Museum'</v>
      </c>
      <c r="J23" t="str">
        <f t="shared" si="2"/>
        <v>'StreetAddress':'5025 State St'</v>
      </c>
      <c r="K23" t="str">
        <f t="shared" si="3"/>
        <v>'ZipCode':'84107'</v>
      </c>
      <c r="L23" t="str">
        <f t="shared" si="4"/>
        <v>'DistanceToHub':2.4</v>
      </c>
      <c r="M23" t="str">
        <f t="shared" si="5"/>
        <v>'TimeToHub':8</v>
      </c>
      <c r="N23" t="s">
        <v>121</v>
      </c>
    </row>
    <row r="24" spans="1:14" x14ac:dyDescent="0.25">
      <c r="A24" s="29">
        <v>23</v>
      </c>
      <c r="B24" s="28" t="s">
        <v>103</v>
      </c>
      <c r="C24" s="28" t="s">
        <v>88</v>
      </c>
      <c r="D24" s="29">
        <v>84118</v>
      </c>
      <c r="E24" s="29">
        <v>6.4</v>
      </c>
      <c r="F24" s="29">
        <f t="shared" si="6"/>
        <v>21.333333333333336</v>
      </c>
      <c r="G24" t="s">
        <v>120</v>
      </c>
      <c r="H24" t="str">
        <f t="shared" si="0"/>
        <v>'AddressId':23</v>
      </c>
      <c r="I24" t="str">
        <f t="shared" si="1"/>
        <v>'AddressName':'Valley Regional Softball Complex'</v>
      </c>
      <c r="J24" t="str">
        <f t="shared" si="2"/>
        <v>'StreetAddress':'5100 South 2700 West'</v>
      </c>
      <c r="K24" t="str">
        <f t="shared" si="3"/>
        <v>'ZipCode':'84118'</v>
      </c>
      <c r="L24" t="str">
        <f t="shared" si="4"/>
        <v>'DistanceToHub':6.4</v>
      </c>
      <c r="M24" t="str">
        <f t="shared" si="5"/>
        <v>'TimeToHub':21.3333333333333</v>
      </c>
      <c r="N24" t="s">
        <v>121</v>
      </c>
    </row>
    <row r="25" spans="1:14" x14ac:dyDescent="0.25">
      <c r="A25" s="29">
        <v>24</v>
      </c>
      <c r="B25" s="28" t="s">
        <v>102</v>
      </c>
      <c r="C25" s="28" t="s">
        <v>89</v>
      </c>
      <c r="D25" s="29">
        <v>84117</v>
      </c>
      <c r="E25" s="29">
        <v>2.4</v>
      </c>
      <c r="F25" s="29">
        <f t="shared" si="6"/>
        <v>8</v>
      </c>
      <c r="G25" t="s">
        <v>120</v>
      </c>
      <c r="H25" t="str">
        <f t="shared" si="0"/>
        <v>'AddressId':24</v>
      </c>
      <c r="I25" t="str">
        <f t="shared" si="1"/>
        <v>'AddressName':'City Center of Rock Springs'</v>
      </c>
      <c r="J25" t="str">
        <f t="shared" si="2"/>
        <v>'StreetAddress':'5383 S 900 East #104'</v>
      </c>
      <c r="K25" t="str">
        <f t="shared" si="3"/>
        <v>'ZipCode':'84117'</v>
      </c>
      <c r="L25" t="str">
        <f t="shared" si="4"/>
        <v>'DistanceToHub':2.4</v>
      </c>
      <c r="M25" t="str">
        <f t="shared" si="5"/>
        <v>'TimeToHub':8</v>
      </c>
      <c r="N25" t="s">
        <v>121</v>
      </c>
    </row>
    <row r="26" spans="1:14" x14ac:dyDescent="0.25">
      <c r="A26" s="29">
        <v>25</v>
      </c>
      <c r="B26" s="28" t="s">
        <v>101</v>
      </c>
      <c r="C26" s="28" t="s">
        <v>90</v>
      </c>
      <c r="D26" s="29">
        <v>84105</v>
      </c>
      <c r="E26" s="29">
        <v>5</v>
      </c>
      <c r="F26" s="29">
        <f t="shared" si="6"/>
        <v>16.666666666666668</v>
      </c>
      <c r="G26" t="s">
        <v>120</v>
      </c>
      <c r="H26" t="str">
        <f t="shared" si="0"/>
        <v>'AddressId':25</v>
      </c>
      <c r="I26" t="str">
        <f t="shared" si="1"/>
        <v>'AddressName':'Rice Terrace Pavilion Park'</v>
      </c>
      <c r="J26" t="str">
        <f t="shared" si="2"/>
        <v>'StreetAddress':'600 E 900 South'</v>
      </c>
      <c r="K26" t="str">
        <f t="shared" si="3"/>
        <v>'ZipCode':'84105'</v>
      </c>
      <c r="L26" t="str">
        <f t="shared" si="4"/>
        <v>'DistanceToHub':5</v>
      </c>
      <c r="M26" t="str">
        <f t="shared" si="5"/>
        <v>'TimeToHub':16.6666666666667</v>
      </c>
      <c r="N26" t="s">
        <v>121</v>
      </c>
    </row>
    <row r="27" spans="1:14" x14ac:dyDescent="0.25">
      <c r="A27" s="29">
        <v>26</v>
      </c>
      <c r="B27" s="28" t="s">
        <v>100</v>
      </c>
      <c r="C27" s="28" t="s">
        <v>91</v>
      </c>
      <c r="D27" s="29">
        <v>84121</v>
      </c>
      <c r="E27" s="29">
        <v>3.6</v>
      </c>
      <c r="F27" s="29">
        <f t="shared" si="6"/>
        <v>12</v>
      </c>
      <c r="G27" t="s">
        <v>120</v>
      </c>
      <c r="H27" t="str">
        <f t="shared" si="0"/>
        <v>'AddressId':26</v>
      </c>
      <c r="I27" t="str">
        <f t="shared" si="1"/>
        <v>'AddressName':'Wheeler Historic Farm'</v>
      </c>
      <c r="J27" t="str">
        <f t="shared" si="2"/>
        <v>'StreetAddress':'6351 South 900 East'</v>
      </c>
      <c r="K27" t="str">
        <f t="shared" si="3"/>
        <v>'ZipCode':'84121'</v>
      </c>
      <c r="L27" t="str">
        <f t="shared" si="4"/>
        <v>'DistanceToHub':3.6</v>
      </c>
      <c r="M27" t="str">
        <f t="shared" si="5"/>
        <v>'TimeToHub':12</v>
      </c>
      <c r="N27" t="s">
        <v>121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7EBF-AB40-4115-A19C-0A619F4DB909}">
  <sheetPr codeName="Sheet9"/>
  <dimension ref="A1:H379"/>
  <sheetViews>
    <sheetView workbookViewId="0">
      <selection activeCell="E3" sqref="E3"/>
    </sheetView>
  </sheetViews>
  <sheetFormatPr defaultRowHeight="15" x14ac:dyDescent="0.25"/>
  <cols>
    <col min="1" max="1" width="12.5703125" style="27" customWidth="1"/>
    <col min="2" max="2" width="23.5703125" style="27" customWidth="1"/>
    <col min="3" max="3" width="14.5703125" customWidth="1"/>
    <col min="5" max="7" width="15.28515625" bestFit="1" customWidth="1"/>
  </cols>
  <sheetData>
    <row r="1" spans="1:8" x14ac:dyDescent="0.25">
      <c r="A1" s="27" t="s">
        <v>118</v>
      </c>
      <c r="B1" s="27" t="s">
        <v>119</v>
      </c>
      <c r="C1" t="s">
        <v>58</v>
      </c>
    </row>
    <row r="2" spans="1:8" x14ac:dyDescent="0.25">
      <c r="A2" s="27">
        <v>0</v>
      </c>
      <c r="B2" s="27">
        <v>0</v>
      </c>
      <c r="C2">
        <v>0</v>
      </c>
      <c r="D2" t="s">
        <v>120</v>
      </c>
      <c r="E2" t="str">
        <f>"'AddressFrom':" &amp; A2</f>
        <v>'AddressFrom':0</v>
      </c>
      <c r="F2" t="str">
        <f>"'AddressTo':" &amp; B2</f>
        <v>'AddressTo':0</v>
      </c>
      <c r="G2" t="str">
        <f>"'Distance':" &amp; C2</f>
        <v>'Distance':0</v>
      </c>
      <c r="H2" t="s">
        <v>121</v>
      </c>
    </row>
    <row r="3" spans="1:8" x14ac:dyDescent="0.25">
      <c r="A3" s="27">
        <v>0</v>
      </c>
      <c r="B3" s="27">
        <v>1</v>
      </c>
      <c r="C3">
        <v>7.2</v>
      </c>
      <c r="D3" t="s">
        <v>120</v>
      </c>
      <c r="E3" t="str">
        <f t="shared" ref="E3:E66" si="0">"'AddressFrom':" &amp; A3</f>
        <v>'AddressFrom':0</v>
      </c>
      <c r="F3" t="str">
        <f t="shared" ref="F3:F66" si="1">"'AddressTo':" &amp; B3</f>
        <v>'AddressTo':1</v>
      </c>
      <c r="G3" t="str">
        <f t="shared" ref="G3:G66" si="2">"'Distance':" &amp; C3</f>
        <v>'Distance':7.2</v>
      </c>
      <c r="H3" t="s">
        <v>121</v>
      </c>
    </row>
    <row r="4" spans="1:8" x14ac:dyDescent="0.25">
      <c r="A4" s="27">
        <v>0</v>
      </c>
      <c r="B4" s="27">
        <v>2</v>
      </c>
      <c r="C4">
        <v>3.8</v>
      </c>
      <c r="D4" t="s">
        <v>120</v>
      </c>
      <c r="E4" t="str">
        <f t="shared" si="0"/>
        <v>'AddressFrom':0</v>
      </c>
      <c r="F4" t="str">
        <f t="shared" si="1"/>
        <v>'AddressTo':2</v>
      </c>
      <c r="G4" t="str">
        <f t="shared" si="2"/>
        <v>'Distance':3.8</v>
      </c>
      <c r="H4" t="s">
        <v>121</v>
      </c>
    </row>
    <row r="5" spans="1:8" x14ac:dyDescent="0.25">
      <c r="A5" s="27">
        <v>0</v>
      </c>
      <c r="B5" s="27">
        <v>3</v>
      </c>
      <c r="C5">
        <v>11</v>
      </c>
      <c r="D5" t="s">
        <v>120</v>
      </c>
      <c r="E5" t="str">
        <f t="shared" si="0"/>
        <v>'AddressFrom':0</v>
      </c>
      <c r="F5" t="str">
        <f t="shared" si="1"/>
        <v>'AddressTo':3</v>
      </c>
      <c r="G5" t="str">
        <f t="shared" si="2"/>
        <v>'Distance':11</v>
      </c>
      <c r="H5" t="s">
        <v>121</v>
      </c>
    </row>
    <row r="6" spans="1:8" x14ac:dyDescent="0.25">
      <c r="A6" s="27">
        <v>0</v>
      </c>
      <c r="B6" s="27">
        <v>4</v>
      </c>
      <c r="C6">
        <v>2.2000000000000002</v>
      </c>
      <c r="D6" t="s">
        <v>120</v>
      </c>
      <c r="E6" t="str">
        <f t="shared" si="0"/>
        <v>'AddressFrom':0</v>
      </c>
      <c r="F6" t="str">
        <f t="shared" si="1"/>
        <v>'AddressTo':4</v>
      </c>
      <c r="G6" t="str">
        <f t="shared" si="2"/>
        <v>'Distance':2.2</v>
      </c>
      <c r="H6" t="s">
        <v>121</v>
      </c>
    </row>
    <row r="7" spans="1:8" x14ac:dyDescent="0.25">
      <c r="A7" s="27">
        <v>0</v>
      </c>
      <c r="B7" s="27">
        <v>5</v>
      </c>
      <c r="C7">
        <v>3.5</v>
      </c>
      <c r="D7" t="s">
        <v>120</v>
      </c>
      <c r="E7" t="str">
        <f t="shared" si="0"/>
        <v>'AddressFrom':0</v>
      </c>
      <c r="F7" t="str">
        <f t="shared" si="1"/>
        <v>'AddressTo':5</v>
      </c>
      <c r="G7" t="str">
        <f t="shared" si="2"/>
        <v>'Distance':3.5</v>
      </c>
      <c r="H7" t="s">
        <v>121</v>
      </c>
    </row>
    <row r="8" spans="1:8" x14ac:dyDescent="0.25">
      <c r="A8" s="27">
        <v>0</v>
      </c>
      <c r="B8" s="27">
        <v>6</v>
      </c>
      <c r="C8">
        <v>10.9</v>
      </c>
      <c r="D8" t="s">
        <v>120</v>
      </c>
      <c r="E8" t="str">
        <f t="shared" si="0"/>
        <v>'AddressFrom':0</v>
      </c>
      <c r="F8" t="str">
        <f t="shared" si="1"/>
        <v>'AddressTo':6</v>
      </c>
      <c r="G8" t="str">
        <f t="shared" si="2"/>
        <v>'Distance':10.9</v>
      </c>
      <c r="H8" t="s">
        <v>121</v>
      </c>
    </row>
    <row r="9" spans="1:8" x14ac:dyDescent="0.25">
      <c r="A9" s="27">
        <v>0</v>
      </c>
      <c r="B9" s="27">
        <v>7</v>
      </c>
      <c r="C9">
        <v>8.6</v>
      </c>
      <c r="D9" t="s">
        <v>120</v>
      </c>
      <c r="E9" t="str">
        <f t="shared" si="0"/>
        <v>'AddressFrom':0</v>
      </c>
      <c r="F9" t="str">
        <f t="shared" si="1"/>
        <v>'AddressTo':7</v>
      </c>
      <c r="G9" t="str">
        <f t="shared" si="2"/>
        <v>'Distance':8.6</v>
      </c>
      <c r="H9" t="s">
        <v>121</v>
      </c>
    </row>
    <row r="10" spans="1:8" x14ac:dyDescent="0.25">
      <c r="A10" s="27">
        <v>0</v>
      </c>
      <c r="B10" s="27">
        <v>8</v>
      </c>
      <c r="C10">
        <v>7.6</v>
      </c>
      <c r="D10" t="s">
        <v>120</v>
      </c>
      <c r="E10" t="str">
        <f t="shared" si="0"/>
        <v>'AddressFrom':0</v>
      </c>
      <c r="F10" t="str">
        <f t="shared" si="1"/>
        <v>'AddressTo':8</v>
      </c>
      <c r="G10" t="str">
        <f t="shared" si="2"/>
        <v>'Distance':7.6</v>
      </c>
      <c r="H10" t="s">
        <v>121</v>
      </c>
    </row>
    <row r="11" spans="1:8" x14ac:dyDescent="0.25">
      <c r="A11" s="27">
        <v>0</v>
      </c>
      <c r="B11" s="27">
        <v>9</v>
      </c>
      <c r="C11">
        <v>2.8</v>
      </c>
      <c r="D11" t="s">
        <v>120</v>
      </c>
      <c r="E11" t="str">
        <f t="shared" si="0"/>
        <v>'AddressFrom':0</v>
      </c>
      <c r="F11" t="str">
        <f t="shared" si="1"/>
        <v>'AddressTo':9</v>
      </c>
      <c r="G11" t="str">
        <f t="shared" si="2"/>
        <v>'Distance':2.8</v>
      </c>
      <c r="H11" t="s">
        <v>121</v>
      </c>
    </row>
    <row r="12" spans="1:8" x14ac:dyDescent="0.25">
      <c r="A12" s="27">
        <v>0</v>
      </c>
      <c r="B12" s="27">
        <v>10</v>
      </c>
      <c r="C12">
        <v>6.4</v>
      </c>
      <c r="D12" t="s">
        <v>120</v>
      </c>
      <c r="E12" t="str">
        <f t="shared" si="0"/>
        <v>'AddressFrom':0</v>
      </c>
      <c r="F12" t="str">
        <f t="shared" si="1"/>
        <v>'AddressTo':10</v>
      </c>
      <c r="G12" t="str">
        <f t="shared" si="2"/>
        <v>'Distance':6.4</v>
      </c>
      <c r="H12" t="s">
        <v>121</v>
      </c>
    </row>
    <row r="13" spans="1:8" x14ac:dyDescent="0.25">
      <c r="A13" s="27">
        <v>0</v>
      </c>
      <c r="B13" s="27">
        <v>11</v>
      </c>
      <c r="C13">
        <v>3.2</v>
      </c>
      <c r="D13" t="s">
        <v>120</v>
      </c>
      <c r="E13" t="str">
        <f t="shared" si="0"/>
        <v>'AddressFrom':0</v>
      </c>
      <c r="F13" t="str">
        <f t="shared" si="1"/>
        <v>'AddressTo':11</v>
      </c>
      <c r="G13" t="str">
        <f t="shared" si="2"/>
        <v>'Distance':3.2</v>
      </c>
      <c r="H13" t="s">
        <v>121</v>
      </c>
    </row>
    <row r="14" spans="1:8" x14ac:dyDescent="0.25">
      <c r="A14" s="27">
        <v>0</v>
      </c>
      <c r="B14" s="27">
        <v>12</v>
      </c>
      <c r="C14">
        <v>7.6</v>
      </c>
      <c r="D14" t="s">
        <v>120</v>
      </c>
      <c r="E14" t="str">
        <f t="shared" si="0"/>
        <v>'AddressFrom':0</v>
      </c>
      <c r="F14" t="str">
        <f t="shared" si="1"/>
        <v>'AddressTo':12</v>
      </c>
      <c r="G14" t="str">
        <f t="shared" si="2"/>
        <v>'Distance':7.6</v>
      </c>
      <c r="H14" t="s">
        <v>121</v>
      </c>
    </row>
    <row r="15" spans="1:8" x14ac:dyDescent="0.25">
      <c r="A15" s="27">
        <v>0</v>
      </c>
      <c r="B15" s="27">
        <v>13</v>
      </c>
      <c r="C15">
        <v>5.2</v>
      </c>
      <c r="D15" t="s">
        <v>120</v>
      </c>
      <c r="E15" t="str">
        <f t="shared" si="0"/>
        <v>'AddressFrom':0</v>
      </c>
      <c r="F15" t="str">
        <f t="shared" si="1"/>
        <v>'AddressTo':13</v>
      </c>
      <c r="G15" t="str">
        <f t="shared" si="2"/>
        <v>'Distance':5.2</v>
      </c>
      <c r="H15" t="s">
        <v>121</v>
      </c>
    </row>
    <row r="16" spans="1:8" x14ac:dyDescent="0.25">
      <c r="A16" s="27">
        <v>0</v>
      </c>
      <c r="B16" s="27">
        <v>14</v>
      </c>
      <c r="C16">
        <v>4.4000000000000004</v>
      </c>
      <c r="D16" t="s">
        <v>120</v>
      </c>
      <c r="E16" t="str">
        <f t="shared" si="0"/>
        <v>'AddressFrom':0</v>
      </c>
      <c r="F16" t="str">
        <f t="shared" si="1"/>
        <v>'AddressTo':14</v>
      </c>
      <c r="G16" t="str">
        <f t="shared" si="2"/>
        <v>'Distance':4.4</v>
      </c>
      <c r="H16" t="s">
        <v>121</v>
      </c>
    </row>
    <row r="17" spans="1:8" x14ac:dyDescent="0.25">
      <c r="A17" s="27">
        <v>0</v>
      </c>
      <c r="B17" s="27">
        <v>15</v>
      </c>
      <c r="C17">
        <v>3.66112816434</v>
      </c>
      <c r="D17" t="s">
        <v>120</v>
      </c>
      <c r="E17" t="str">
        <f t="shared" si="0"/>
        <v>'AddressFrom':0</v>
      </c>
      <c r="F17" t="str">
        <f t="shared" si="1"/>
        <v>'AddressTo':15</v>
      </c>
      <c r="G17" t="str">
        <f t="shared" si="2"/>
        <v>'Distance':3.66112816434</v>
      </c>
      <c r="H17" t="s">
        <v>121</v>
      </c>
    </row>
    <row r="18" spans="1:8" x14ac:dyDescent="0.25">
      <c r="A18" s="27">
        <v>0</v>
      </c>
      <c r="B18" s="27">
        <v>16</v>
      </c>
      <c r="C18">
        <v>7.6</v>
      </c>
      <c r="D18" t="s">
        <v>120</v>
      </c>
      <c r="E18" t="str">
        <f t="shared" si="0"/>
        <v>'AddressFrom':0</v>
      </c>
      <c r="F18" t="str">
        <f t="shared" si="1"/>
        <v>'AddressTo':16</v>
      </c>
      <c r="G18" t="str">
        <f t="shared" si="2"/>
        <v>'Distance':7.6</v>
      </c>
      <c r="H18" t="s">
        <v>121</v>
      </c>
    </row>
    <row r="19" spans="1:8" x14ac:dyDescent="0.25">
      <c r="A19" s="27">
        <v>0</v>
      </c>
      <c r="B19" s="27">
        <v>17</v>
      </c>
      <c r="C19">
        <v>2</v>
      </c>
      <c r="D19" t="s">
        <v>120</v>
      </c>
      <c r="E19" t="str">
        <f t="shared" si="0"/>
        <v>'AddressFrom':0</v>
      </c>
      <c r="F19" t="str">
        <f t="shared" si="1"/>
        <v>'AddressTo':17</v>
      </c>
      <c r="G19" t="str">
        <f t="shared" si="2"/>
        <v>'Distance':2</v>
      </c>
      <c r="H19" t="s">
        <v>121</v>
      </c>
    </row>
    <row r="20" spans="1:8" x14ac:dyDescent="0.25">
      <c r="A20" s="27">
        <v>0</v>
      </c>
      <c r="B20" s="27">
        <v>18</v>
      </c>
      <c r="C20">
        <v>3.6</v>
      </c>
      <c r="D20" t="s">
        <v>120</v>
      </c>
      <c r="E20" t="str">
        <f t="shared" si="0"/>
        <v>'AddressFrom':0</v>
      </c>
      <c r="F20" t="str">
        <f t="shared" si="1"/>
        <v>'AddressTo':18</v>
      </c>
      <c r="G20" t="str">
        <f t="shared" si="2"/>
        <v>'Distance':3.6</v>
      </c>
      <c r="H20" t="s">
        <v>121</v>
      </c>
    </row>
    <row r="21" spans="1:8" x14ac:dyDescent="0.25">
      <c r="A21" s="27">
        <v>0</v>
      </c>
      <c r="B21" s="27">
        <v>19</v>
      </c>
      <c r="C21">
        <v>6.5</v>
      </c>
      <c r="D21" t="s">
        <v>120</v>
      </c>
      <c r="E21" t="str">
        <f t="shared" si="0"/>
        <v>'AddressFrom':0</v>
      </c>
      <c r="F21" t="str">
        <f t="shared" si="1"/>
        <v>'AddressTo':19</v>
      </c>
      <c r="G21" t="str">
        <f t="shared" si="2"/>
        <v>'Distance':6.5</v>
      </c>
      <c r="H21" t="s">
        <v>121</v>
      </c>
    </row>
    <row r="22" spans="1:8" x14ac:dyDescent="0.25">
      <c r="A22" s="27">
        <v>0</v>
      </c>
      <c r="B22" s="27">
        <v>20</v>
      </c>
      <c r="C22">
        <v>1.9</v>
      </c>
      <c r="D22" t="s">
        <v>120</v>
      </c>
      <c r="E22" t="str">
        <f t="shared" si="0"/>
        <v>'AddressFrom':0</v>
      </c>
      <c r="F22" t="str">
        <f t="shared" si="1"/>
        <v>'AddressTo':20</v>
      </c>
      <c r="G22" t="str">
        <f t="shared" si="2"/>
        <v>'Distance':1.9</v>
      </c>
      <c r="H22" t="s">
        <v>121</v>
      </c>
    </row>
    <row r="23" spans="1:8" x14ac:dyDescent="0.25">
      <c r="A23" s="27">
        <v>0</v>
      </c>
      <c r="B23" s="27">
        <v>21</v>
      </c>
      <c r="C23">
        <v>3.4</v>
      </c>
      <c r="D23" t="s">
        <v>120</v>
      </c>
      <c r="E23" t="str">
        <f t="shared" si="0"/>
        <v>'AddressFrom':0</v>
      </c>
      <c r="F23" t="str">
        <f t="shared" si="1"/>
        <v>'AddressTo':21</v>
      </c>
      <c r="G23" t="str">
        <f t="shared" si="2"/>
        <v>'Distance':3.4</v>
      </c>
      <c r="H23" t="s">
        <v>121</v>
      </c>
    </row>
    <row r="24" spans="1:8" x14ac:dyDescent="0.25">
      <c r="A24" s="27">
        <v>0</v>
      </c>
      <c r="B24" s="27">
        <v>22</v>
      </c>
      <c r="C24">
        <v>2.4</v>
      </c>
      <c r="D24" t="s">
        <v>120</v>
      </c>
      <c r="E24" t="str">
        <f t="shared" si="0"/>
        <v>'AddressFrom':0</v>
      </c>
      <c r="F24" t="str">
        <f t="shared" si="1"/>
        <v>'AddressTo':22</v>
      </c>
      <c r="G24" t="str">
        <f t="shared" si="2"/>
        <v>'Distance':2.4</v>
      </c>
      <c r="H24" t="s">
        <v>121</v>
      </c>
    </row>
    <row r="25" spans="1:8" x14ac:dyDescent="0.25">
      <c r="A25" s="27">
        <v>0</v>
      </c>
      <c r="B25" s="27">
        <v>23</v>
      </c>
      <c r="C25">
        <v>6.4</v>
      </c>
      <c r="D25" t="s">
        <v>120</v>
      </c>
      <c r="E25" t="str">
        <f t="shared" si="0"/>
        <v>'AddressFrom':0</v>
      </c>
      <c r="F25" t="str">
        <f t="shared" si="1"/>
        <v>'AddressTo':23</v>
      </c>
      <c r="G25" t="str">
        <f t="shared" si="2"/>
        <v>'Distance':6.4</v>
      </c>
      <c r="H25" t="s">
        <v>121</v>
      </c>
    </row>
    <row r="26" spans="1:8" x14ac:dyDescent="0.25">
      <c r="A26" s="27">
        <v>0</v>
      </c>
      <c r="B26" s="27">
        <v>24</v>
      </c>
      <c r="C26">
        <v>2.4</v>
      </c>
      <c r="D26" t="s">
        <v>120</v>
      </c>
      <c r="E26" t="str">
        <f t="shared" si="0"/>
        <v>'AddressFrom':0</v>
      </c>
      <c r="F26" t="str">
        <f t="shared" si="1"/>
        <v>'AddressTo':24</v>
      </c>
      <c r="G26" t="str">
        <f t="shared" si="2"/>
        <v>'Distance':2.4</v>
      </c>
      <c r="H26" t="s">
        <v>121</v>
      </c>
    </row>
    <row r="27" spans="1:8" x14ac:dyDescent="0.25">
      <c r="A27" s="27">
        <v>0</v>
      </c>
      <c r="B27" s="27">
        <v>25</v>
      </c>
      <c r="C27">
        <v>5</v>
      </c>
      <c r="D27" t="s">
        <v>120</v>
      </c>
      <c r="E27" t="str">
        <f t="shared" si="0"/>
        <v>'AddressFrom':0</v>
      </c>
      <c r="F27" t="str">
        <f t="shared" si="1"/>
        <v>'AddressTo':25</v>
      </c>
      <c r="G27" t="str">
        <f t="shared" si="2"/>
        <v>'Distance':5</v>
      </c>
      <c r="H27" t="s">
        <v>121</v>
      </c>
    </row>
    <row r="28" spans="1:8" x14ac:dyDescent="0.25">
      <c r="A28" s="27">
        <v>0</v>
      </c>
      <c r="B28" s="27">
        <v>26</v>
      </c>
      <c r="C28">
        <v>3.6</v>
      </c>
      <c r="D28" t="s">
        <v>120</v>
      </c>
      <c r="E28" t="str">
        <f t="shared" si="0"/>
        <v>'AddressFrom':0</v>
      </c>
      <c r="F28" t="str">
        <f t="shared" si="1"/>
        <v>'AddressTo':26</v>
      </c>
      <c r="G28" t="str">
        <f t="shared" si="2"/>
        <v>'Distance':3.6</v>
      </c>
      <c r="H28" t="s">
        <v>121</v>
      </c>
    </row>
    <row r="29" spans="1:8" x14ac:dyDescent="0.25">
      <c r="A29" s="27">
        <v>1</v>
      </c>
      <c r="B29" s="27">
        <v>1</v>
      </c>
      <c r="C29">
        <v>0</v>
      </c>
      <c r="D29" t="s">
        <v>120</v>
      </c>
      <c r="E29" t="str">
        <f t="shared" si="0"/>
        <v>'AddressFrom':1</v>
      </c>
      <c r="F29" t="str">
        <f t="shared" si="1"/>
        <v>'AddressTo':1</v>
      </c>
      <c r="G29" t="str">
        <f t="shared" si="2"/>
        <v>'Distance':0</v>
      </c>
      <c r="H29" t="s">
        <v>121</v>
      </c>
    </row>
    <row r="30" spans="1:8" x14ac:dyDescent="0.25">
      <c r="A30" s="27">
        <v>1</v>
      </c>
      <c r="B30" s="27">
        <v>2</v>
      </c>
      <c r="C30">
        <v>7.1</v>
      </c>
      <c r="D30" t="s">
        <v>120</v>
      </c>
      <c r="E30" t="str">
        <f t="shared" si="0"/>
        <v>'AddressFrom':1</v>
      </c>
      <c r="F30" t="str">
        <f t="shared" si="1"/>
        <v>'AddressTo':2</v>
      </c>
      <c r="G30" t="str">
        <f t="shared" si="2"/>
        <v>'Distance':7.1</v>
      </c>
      <c r="H30" t="s">
        <v>121</v>
      </c>
    </row>
    <row r="31" spans="1:8" x14ac:dyDescent="0.25">
      <c r="A31" s="27">
        <v>1</v>
      </c>
      <c r="B31" s="27">
        <v>3</v>
      </c>
      <c r="C31">
        <v>6.4</v>
      </c>
      <c r="D31" t="s">
        <v>120</v>
      </c>
      <c r="E31" t="str">
        <f t="shared" si="0"/>
        <v>'AddressFrom':1</v>
      </c>
      <c r="F31" t="str">
        <f t="shared" si="1"/>
        <v>'AddressTo':3</v>
      </c>
      <c r="G31" t="str">
        <f t="shared" si="2"/>
        <v>'Distance':6.4</v>
      </c>
      <c r="H31" t="s">
        <v>121</v>
      </c>
    </row>
    <row r="32" spans="1:8" x14ac:dyDescent="0.25">
      <c r="A32" s="27">
        <v>1</v>
      </c>
      <c r="B32" s="27">
        <v>4</v>
      </c>
      <c r="C32">
        <v>6</v>
      </c>
      <c r="D32" t="s">
        <v>120</v>
      </c>
      <c r="E32" t="str">
        <f t="shared" si="0"/>
        <v>'AddressFrom':1</v>
      </c>
      <c r="F32" t="str">
        <f t="shared" si="1"/>
        <v>'AddressTo':4</v>
      </c>
      <c r="G32" t="str">
        <f t="shared" si="2"/>
        <v>'Distance':6</v>
      </c>
      <c r="H32" t="s">
        <v>121</v>
      </c>
    </row>
    <row r="33" spans="1:8" x14ac:dyDescent="0.25">
      <c r="A33" s="27">
        <v>1</v>
      </c>
      <c r="B33" s="27">
        <v>5</v>
      </c>
      <c r="C33">
        <v>4.8</v>
      </c>
      <c r="D33" t="s">
        <v>120</v>
      </c>
      <c r="E33" t="str">
        <f t="shared" si="0"/>
        <v>'AddressFrom':1</v>
      </c>
      <c r="F33" t="str">
        <f t="shared" si="1"/>
        <v>'AddressTo':5</v>
      </c>
      <c r="G33" t="str">
        <f t="shared" si="2"/>
        <v>'Distance':4.8</v>
      </c>
      <c r="H33" t="s">
        <v>121</v>
      </c>
    </row>
    <row r="34" spans="1:8" x14ac:dyDescent="0.25">
      <c r="A34" s="27">
        <v>1</v>
      </c>
      <c r="B34" s="27">
        <v>6</v>
      </c>
      <c r="C34">
        <v>1.6</v>
      </c>
      <c r="D34" t="s">
        <v>120</v>
      </c>
      <c r="E34" t="str">
        <f t="shared" si="0"/>
        <v>'AddressFrom':1</v>
      </c>
      <c r="F34" t="str">
        <f t="shared" si="1"/>
        <v>'AddressTo':6</v>
      </c>
      <c r="G34" t="str">
        <f t="shared" si="2"/>
        <v>'Distance':1.6</v>
      </c>
      <c r="H34" t="s">
        <v>121</v>
      </c>
    </row>
    <row r="35" spans="1:8" x14ac:dyDescent="0.25">
      <c r="A35" s="27">
        <v>1</v>
      </c>
      <c r="B35" s="27">
        <v>7</v>
      </c>
      <c r="C35">
        <v>2.8</v>
      </c>
      <c r="D35" t="s">
        <v>120</v>
      </c>
      <c r="E35" t="str">
        <f t="shared" si="0"/>
        <v>'AddressFrom':1</v>
      </c>
      <c r="F35" t="str">
        <f t="shared" si="1"/>
        <v>'AddressTo':7</v>
      </c>
      <c r="G35" t="str">
        <f t="shared" si="2"/>
        <v>'Distance':2.8</v>
      </c>
      <c r="H35" t="s">
        <v>121</v>
      </c>
    </row>
    <row r="36" spans="1:8" x14ac:dyDescent="0.25">
      <c r="A36" s="27">
        <v>1</v>
      </c>
      <c r="B36" s="27">
        <v>8</v>
      </c>
      <c r="C36">
        <v>4.8</v>
      </c>
      <c r="D36" t="s">
        <v>120</v>
      </c>
      <c r="E36" t="str">
        <f t="shared" si="0"/>
        <v>'AddressFrom':1</v>
      </c>
      <c r="F36" t="str">
        <f t="shared" si="1"/>
        <v>'AddressTo':8</v>
      </c>
      <c r="G36" t="str">
        <f t="shared" si="2"/>
        <v>'Distance':4.8</v>
      </c>
      <c r="H36" t="s">
        <v>121</v>
      </c>
    </row>
    <row r="37" spans="1:8" x14ac:dyDescent="0.25">
      <c r="A37" s="27">
        <v>1</v>
      </c>
      <c r="B37" s="27">
        <v>9</v>
      </c>
      <c r="C37">
        <v>6.3</v>
      </c>
      <c r="D37" t="s">
        <v>120</v>
      </c>
      <c r="E37" t="str">
        <f t="shared" si="0"/>
        <v>'AddressFrom':1</v>
      </c>
      <c r="F37" t="str">
        <f t="shared" si="1"/>
        <v>'AddressTo':9</v>
      </c>
      <c r="G37" t="str">
        <f t="shared" si="2"/>
        <v>'Distance':6.3</v>
      </c>
      <c r="H37" t="s">
        <v>121</v>
      </c>
    </row>
    <row r="38" spans="1:8" x14ac:dyDescent="0.25">
      <c r="A38" s="27">
        <v>1</v>
      </c>
      <c r="B38" s="27">
        <v>10</v>
      </c>
      <c r="C38">
        <v>7.3</v>
      </c>
      <c r="D38" t="s">
        <v>120</v>
      </c>
      <c r="E38" t="str">
        <f t="shared" si="0"/>
        <v>'AddressFrom':1</v>
      </c>
      <c r="F38" t="str">
        <f t="shared" si="1"/>
        <v>'AddressTo':10</v>
      </c>
      <c r="G38" t="str">
        <f t="shared" si="2"/>
        <v>'Distance':7.3</v>
      </c>
      <c r="H38" t="s">
        <v>121</v>
      </c>
    </row>
    <row r="39" spans="1:8" x14ac:dyDescent="0.25">
      <c r="A39" s="27">
        <v>1</v>
      </c>
      <c r="B39" s="27">
        <v>11</v>
      </c>
      <c r="C39">
        <v>5.3</v>
      </c>
      <c r="D39" t="s">
        <v>120</v>
      </c>
      <c r="E39" t="str">
        <f t="shared" si="0"/>
        <v>'AddressFrom':1</v>
      </c>
      <c r="F39" t="str">
        <f t="shared" si="1"/>
        <v>'AddressTo':11</v>
      </c>
      <c r="G39" t="str">
        <f t="shared" si="2"/>
        <v>'Distance':5.3</v>
      </c>
      <c r="H39" t="s">
        <v>121</v>
      </c>
    </row>
    <row r="40" spans="1:8" x14ac:dyDescent="0.25">
      <c r="A40" s="27">
        <v>1</v>
      </c>
      <c r="B40" s="27">
        <v>12</v>
      </c>
      <c r="C40">
        <v>4.8</v>
      </c>
      <c r="D40" t="s">
        <v>120</v>
      </c>
      <c r="E40" t="str">
        <f t="shared" si="0"/>
        <v>'AddressFrom':1</v>
      </c>
      <c r="F40" t="str">
        <f t="shared" si="1"/>
        <v>'AddressTo':12</v>
      </c>
      <c r="G40" t="str">
        <f t="shared" si="2"/>
        <v>'Distance':4.8</v>
      </c>
      <c r="H40" t="s">
        <v>121</v>
      </c>
    </row>
    <row r="41" spans="1:8" x14ac:dyDescent="0.25">
      <c r="A41" s="27">
        <v>1</v>
      </c>
      <c r="B41" s="27">
        <v>13</v>
      </c>
      <c r="C41">
        <v>3</v>
      </c>
      <c r="D41" t="s">
        <v>120</v>
      </c>
      <c r="E41" t="str">
        <f t="shared" si="0"/>
        <v>'AddressFrom':1</v>
      </c>
      <c r="F41" t="str">
        <f t="shared" si="1"/>
        <v>'AddressTo':13</v>
      </c>
      <c r="G41" t="str">
        <f t="shared" si="2"/>
        <v>'Distance':3</v>
      </c>
      <c r="H41" t="s">
        <v>121</v>
      </c>
    </row>
    <row r="42" spans="1:8" x14ac:dyDescent="0.25">
      <c r="A42" s="27">
        <v>1</v>
      </c>
      <c r="B42" s="27">
        <v>14</v>
      </c>
      <c r="C42">
        <v>4.5999999999999996</v>
      </c>
      <c r="D42" t="s">
        <v>120</v>
      </c>
      <c r="E42" t="str">
        <f t="shared" si="0"/>
        <v>'AddressFrom':1</v>
      </c>
      <c r="F42" t="str">
        <f t="shared" si="1"/>
        <v>'AddressTo':14</v>
      </c>
      <c r="G42" t="str">
        <f t="shared" si="2"/>
        <v>'Distance':4.6</v>
      </c>
      <c r="H42" t="s">
        <v>121</v>
      </c>
    </row>
    <row r="43" spans="1:8" x14ac:dyDescent="0.25">
      <c r="A43" s="27">
        <v>1</v>
      </c>
      <c r="B43" s="27">
        <v>15</v>
      </c>
      <c r="C43">
        <v>4.5</v>
      </c>
      <c r="D43" t="s">
        <v>120</v>
      </c>
      <c r="E43" t="str">
        <f t="shared" si="0"/>
        <v>'AddressFrom':1</v>
      </c>
      <c r="F43" t="str">
        <f t="shared" si="1"/>
        <v>'AddressTo':15</v>
      </c>
      <c r="G43" t="str">
        <f t="shared" si="2"/>
        <v>'Distance':4.5</v>
      </c>
      <c r="H43" t="s">
        <v>121</v>
      </c>
    </row>
    <row r="44" spans="1:8" x14ac:dyDescent="0.25">
      <c r="A44" s="27">
        <v>1</v>
      </c>
      <c r="B44" s="27">
        <v>16</v>
      </c>
      <c r="C44">
        <v>7.4</v>
      </c>
      <c r="D44" t="s">
        <v>120</v>
      </c>
      <c r="E44" t="str">
        <f t="shared" si="0"/>
        <v>'AddressFrom':1</v>
      </c>
      <c r="F44" t="str">
        <f t="shared" si="1"/>
        <v>'AddressTo':16</v>
      </c>
      <c r="G44" t="str">
        <f t="shared" si="2"/>
        <v>'Distance':7.4</v>
      </c>
      <c r="H44" t="s">
        <v>121</v>
      </c>
    </row>
    <row r="45" spans="1:8" x14ac:dyDescent="0.25">
      <c r="A45" s="27">
        <v>1</v>
      </c>
      <c r="B45" s="27">
        <v>17</v>
      </c>
      <c r="C45">
        <v>6</v>
      </c>
      <c r="D45" t="s">
        <v>120</v>
      </c>
      <c r="E45" t="str">
        <f t="shared" si="0"/>
        <v>'AddressFrom':1</v>
      </c>
      <c r="F45" t="str">
        <f t="shared" si="1"/>
        <v>'AddressTo':17</v>
      </c>
      <c r="G45" t="str">
        <f t="shared" si="2"/>
        <v>'Distance':6</v>
      </c>
      <c r="H45" t="s">
        <v>121</v>
      </c>
    </row>
    <row r="46" spans="1:8" x14ac:dyDescent="0.25">
      <c r="A46" s="27">
        <v>1</v>
      </c>
      <c r="B46" s="27">
        <v>18</v>
      </c>
      <c r="C46">
        <v>5</v>
      </c>
      <c r="D46" t="s">
        <v>120</v>
      </c>
      <c r="E46" t="str">
        <f t="shared" si="0"/>
        <v>'AddressFrom':1</v>
      </c>
      <c r="F46" t="str">
        <f t="shared" si="1"/>
        <v>'AddressTo':18</v>
      </c>
      <c r="G46" t="str">
        <f t="shared" si="2"/>
        <v>'Distance':5</v>
      </c>
      <c r="H46" t="s">
        <v>121</v>
      </c>
    </row>
    <row r="47" spans="1:8" x14ac:dyDescent="0.25">
      <c r="A47" s="27">
        <v>1</v>
      </c>
      <c r="B47" s="27">
        <v>19</v>
      </c>
      <c r="C47">
        <v>4.8</v>
      </c>
      <c r="D47" t="s">
        <v>120</v>
      </c>
      <c r="E47" t="str">
        <f t="shared" si="0"/>
        <v>'AddressFrom':1</v>
      </c>
      <c r="F47" t="str">
        <f t="shared" si="1"/>
        <v>'AddressTo':19</v>
      </c>
      <c r="G47" t="str">
        <f t="shared" si="2"/>
        <v>'Distance':4.8</v>
      </c>
      <c r="H47" t="s">
        <v>121</v>
      </c>
    </row>
    <row r="48" spans="1:8" x14ac:dyDescent="0.25">
      <c r="A48" s="27">
        <v>1</v>
      </c>
      <c r="B48" s="27">
        <v>20</v>
      </c>
      <c r="C48">
        <v>9.5</v>
      </c>
      <c r="D48" t="s">
        <v>120</v>
      </c>
      <c r="E48" t="str">
        <f t="shared" si="0"/>
        <v>'AddressFrom':1</v>
      </c>
      <c r="F48" t="str">
        <f t="shared" si="1"/>
        <v>'AddressTo':20</v>
      </c>
      <c r="G48" t="str">
        <f t="shared" si="2"/>
        <v>'Distance':9.5</v>
      </c>
      <c r="H48" t="s">
        <v>121</v>
      </c>
    </row>
    <row r="49" spans="1:8" x14ac:dyDescent="0.25">
      <c r="A49" s="27">
        <v>1</v>
      </c>
      <c r="B49" s="27">
        <v>21</v>
      </c>
      <c r="C49">
        <v>10.9</v>
      </c>
      <c r="D49" t="s">
        <v>120</v>
      </c>
      <c r="E49" t="str">
        <f t="shared" si="0"/>
        <v>'AddressFrom':1</v>
      </c>
      <c r="F49" t="str">
        <f t="shared" si="1"/>
        <v>'AddressTo':21</v>
      </c>
      <c r="G49" t="str">
        <f t="shared" si="2"/>
        <v>'Distance':10.9</v>
      </c>
      <c r="H49" t="s">
        <v>121</v>
      </c>
    </row>
    <row r="50" spans="1:8" x14ac:dyDescent="0.25">
      <c r="A50" s="27">
        <v>1</v>
      </c>
      <c r="B50" s="27">
        <v>22</v>
      </c>
      <c r="C50">
        <v>8.3000000000000007</v>
      </c>
      <c r="D50" t="s">
        <v>120</v>
      </c>
      <c r="E50" t="str">
        <f t="shared" si="0"/>
        <v>'AddressFrom':1</v>
      </c>
      <c r="F50" t="str">
        <f t="shared" si="1"/>
        <v>'AddressTo':22</v>
      </c>
      <c r="G50" t="str">
        <f t="shared" si="2"/>
        <v>'Distance':8.3</v>
      </c>
      <c r="H50" t="s">
        <v>121</v>
      </c>
    </row>
    <row r="51" spans="1:8" x14ac:dyDescent="0.25">
      <c r="A51" s="27">
        <v>1</v>
      </c>
      <c r="B51" s="27">
        <v>23</v>
      </c>
      <c r="C51">
        <v>6.9</v>
      </c>
      <c r="D51" t="s">
        <v>120</v>
      </c>
      <c r="E51" t="str">
        <f t="shared" si="0"/>
        <v>'AddressFrom':1</v>
      </c>
      <c r="F51" t="str">
        <f t="shared" si="1"/>
        <v>'AddressTo':23</v>
      </c>
      <c r="G51" t="str">
        <f t="shared" si="2"/>
        <v>'Distance':6.9</v>
      </c>
      <c r="H51" t="s">
        <v>121</v>
      </c>
    </row>
    <row r="52" spans="1:8" x14ac:dyDescent="0.25">
      <c r="A52" s="27">
        <v>1</v>
      </c>
      <c r="B52" s="27">
        <v>24</v>
      </c>
      <c r="C52">
        <v>10</v>
      </c>
      <c r="D52" t="s">
        <v>120</v>
      </c>
      <c r="E52" t="str">
        <f t="shared" si="0"/>
        <v>'AddressFrom':1</v>
      </c>
      <c r="F52" t="str">
        <f t="shared" si="1"/>
        <v>'AddressTo':24</v>
      </c>
      <c r="G52" t="str">
        <f t="shared" si="2"/>
        <v>'Distance':10</v>
      </c>
      <c r="H52" t="s">
        <v>121</v>
      </c>
    </row>
    <row r="53" spans="1:8" x14ac:dyDescent="0.25">
      <c r="A53" s="27">
        <v>1</v>
      </c>
      <c r="B53" s="27">
        <v>25</v>
      </c>
      <c r="C53">
        <v>4.4000000000000004</v>
      </c>
      <c r="D53" t="s">
        <v>120</v>
      </c>
      <c r="E53" t="str">
        <f t="shared" si="0"/>
        <v>'AddressFrom':1</v>
      </c>
      <c r="F53" t="str">
        <f t="shared" si="1"/>
        <v>'AddressTo':25</v>
      </c>
      <c r="G53" t="str">
        <f t="shared" si="2"/>
        <v>'Distance':4.4</v>
      </c>
      <c r="H53" t="s">
        <v>121</v>
      </c>
    </row>
    <row r="54" spans="1:8" x14ac:dyDescent="0.25">
      <c r="A54" s="27">
        <v>1</v>
      </c>
      <c r="B54" s="27">
        <v>26</v>
      </c>
      <c r="C54">
        <v>13</v>
      </c>
      <c r="D54" t="s">
        <v>120</v>
      </c>
      <c r="E54" t="str">
        <f t="shared" si="0"/>
        <v>'AddressFrom':1</v>
      </c>
      <c r="F54" t="str">
        <f t="shared" si="1"/>
        <v>'AddressTo':26</v>
      </c>
      <c r="G54" t="str">
        <f t="shared" si="2"/>
        <v>'Distance':13</v>
      </c>
      <c r="H54" t="s">
        <v>121</v>
      </c>
    </row>
    <row r="55" spans="1:8" x14ac:dyDescent="0.25">
      <c r="A55" s="27">
        <v>2</v>
      </c>
      <c r="B55" s="27">
        <v>2</v>
      </c>
      <c r="C55">
        <v>0</v>
      </c>
      <c r="D55" t="s">
        <v>120</v>
      </c>
      <c r="E55" t="str">
        <f t="shared" si="0"/>
        <v>'AddressFrom':2</v>
      </c>
      <c r="F55" t="str">
        <f t="shared" si="1"/>
        <v>'AddressTo':2</v>
      </c>
      <c r="G55" t="str">
        <f t="shared" si="2"/>
        <v>'Distance':0</v>
      </c>
      <c r="H55" t="s">
        <v>121</v>
      </c>
    </row>
    <row r="56" spans="1:8" x14ac:dyDescent="0.25">
      <c r="A56" s="27">
        <v>2</v>
      </c>
      <c r="B56" s="27">
        <v>3</v>
      </c>
      <c r="C56">
        <v>9.1999999999999993</v>
      </c>
      <c r="D56" t="s">
        <v>120</v>
      </c>
      <c r="E56" t="str">
        <f t="shared" si="0"/>
        <v>'AddressFrom':2</v>
      </c>
      <c r="F56" t="str">
        <f t="shared" si="1"/>
        <v>'AddressTo':3</v>
      </c>
      <c r="G56" t="str">
        <f t="shared" si="2"/>
        <v>'Distance':9.2</v>
      </c>
      <c r="H56" t="s">
        <v>121</v>
      </c>
    </row>
    <row r="57" spans="1:8" x14ac:dyDescent="0.25">
      <c r="A57" s="27">
        <v>2</v>
      </c>
      <c r="B57" s="27">
        <v>4</v>
      </c>
      <c r="C57">
        <v>4.4000000000000004</v>
      </c>
      <c r="D57" t="s">
        <v>120</v>
      </c>
      <c r="E57" t="str">
        <f t="shared" si="0"/>
        <v>'AddressFrom':2</v>
      </c>
      <c r="F57" t="str">
        <f t="shared" si="1"/>
        <v>'AddressTo':4</v>
      </c>
      <c r="G57" t="str">
        <f t="shared" si="2"/>
        <v>'Distance':4.4</v>
      </c>
      <c r="H57" t="s">
        <v>121</v>
      </c>
    </row>
    <row r="58" spans="1:8" x14ac:dyDescent="0.25">
      <c r="A58" s="27">
        <v>2</v>
      </c>
      <c r="B58" s="27">
        <v>5</v>
      </c>
      <c r="C58">
        <v>2.8</v>
      </c>
      <c r="D58" t="s">
        <v>120</v>
      </c>
      <c r="E58" t="str">
        <f t="shared" si="0"/>
        <v>'AddressFrom':2</v>
      </c>
      <c r="F58" t="str">
        <f t="shared" si="1"/>
        <v>'AddressTo':5</v>
      </c>
      <c r="G58" t="str">
        <f t="shared" si="2"/>
        <v>'Distance':2.8</v>
      </c>
      <c r="H58" t="s">
        <v>121</v>
      </c>
    </row>
    <row r="59" spans="1:8" x14ac:dyDescent="0.25">
      <c r="A59" s="27">
        <v>2</v>
      </c>
      <c r="B59" s="27">
        <v>6</v>
      </c>
      <c r="C59">
        <v>8.6</v>
      </c>
      <c r="D59" t="s">
        <v>120</v>
      </c>
      <c r="E59" t="str">
        <f t="shared" si="0"/>
        <v>'AddressFrom':2</v>
      </c>
      <c r="F59" t="str">
        <f t="shared" si="1"/>
        <v>'AddressTo':6</v>
      </c>
      <c r="G59" t="str">
        <f t="shared" si="2"/>
        <v>'Distance':8.6</v>
      </c>
      <c r="H59" t="s">
        <v>121</v>
      </c>
    </row>
    <row r="60" spans="1:8" x14ac:dyDescent="0.25">
      <c r="A60" s="27">
        <v>2</v>
      </c>
      <c r="B60" s="27">
        <v>7</v>
      </c>
      <c r="C60">
        <v>6.3</v>
      </c>
      <c r="D60" t="s">
        <v>120</v>
      </c>
      <c r="E60" t="str">
        <f t="shared" si="0"/>
        <v>'AddressFrom':2</v>
      </c>
      <c r="F60" t="str">
        <f t="shared" si="1"/>
        <v>'AddressTo':7</v>
      </c>
      <c r="G60" t="str">
        <f t="shared" si="2"/>
        <v>'Distance':6.3</v>
      </c>
      <c r="H60" t="s">
        <v>121</v>
      </c>
    </row>
    <row r="61" spans="1:8" x14ac:dyDescent="0.25">
      <c r="A61" s="27">
        <v>2</v>
      </c>
      <c r="B61" s="27">
        <v>8</v>
      </c>
      <c r="C61">
        <v>5.3</v>
      </c>
      <c r="D61" t="s">
        <v>120</v>
      </c>
      <c r="E61" t="str">
        <f t="shared" si="0"/>
        <v>'AddressFrom':2</v>
      </c>
      <c r="F61" t="str">
        <f t="shared" si="1"/>
        <v>'AddressTo':8</v>
      </c>
      <c r="G61" t="str">
        <f t="shared" si="2"/>
        <v>'Distance':5.3</v>
      </c>
      <c r="H61" t="s">
        <v>121</v>
      </c>
    </row>
    <row r="62" spans="1:8" x14ac:dyDescent="0.25">
      <c r="A62" s="27">
        <v>2</v>
      </c>
      <c r="B62" s="27">
        <v>9</v>
      </c>
      <c r="C62">
        <v>1.6</v>
      </c>
      <c r="D62" t="s">
        <v>120</v>
      </c>
      <c r="E62" t="str">
        <f t="shared" si="0"/>
        <v>'AddressFrom':2</v>
      </c>
      <c r="F62" t="str">
        <f t="shared" si="1"/>
        <v>'AddressTo':9</v>
      </c>
      <c r="G62" t="str">
        <f t="shared" si="2"/>
        <v>'Distance':1.6</v>
      </c>
      <c r="H62" t="s">
        <v>121</v>
      </c>
    </row>
    <row r="63" spans="1:8" x14ac:dyDescent="0.25">
      <c r="A63" s="27">
        <v>2</v>
      </c>
      <c r="B63" s="27">
        <v>10</v>
      </c>
      <c r="C63">
        <v>10.4</v>
      </c>
      <c r="D63" t="s">
        <v>120</v>
      </c>
      <c r="E63" t="str">
        <f t="shared" si="0"/>
        <v>'AddressFrom':2</v>
      </c>
      <c r="F63" t="str">
        <f t="shared" si="1"/>
        <v>'AddressTo':10</v>
      </c>
      <c r="G63" t="str">
        <f t="shared" si="2"/>
        <v>'Distance':10.4</v>
      </c>
      <c r="H63" t="s">
        <v>121</v>
      </c>
    </row>
    <row r="64" spans="1:8" x14ac:dyDescent="0.25">
      <c r="A64" s="27">
        <v>2</v>
      </c>
      <c r="B64" s="27">
        <v>11</v>
      </c>
      <c r="C64">
        <v>3</v>
      </c>
      <c r="D64" t="s">
        <v>120</v>
      </c>
      <c r="E64" t="str">
        <f t="shared" si="0"/>
        <v>'AddressFrom':2</v>
      </c>
      <c r="F64" t="str">
        <f t="shared" si="1"/>
        <v>'AddressTo':11</v>
      </c>
      <c r="G64" t="str">
        <f t="shared" si="2"/>
        <v>'Distance':3</v>
      </c>
      <c r="H64" t="s">
        <v>121</v>
      </c>
    </row>
    <row r="65" spans="1:8" x14ac:dyDescent="0.25">
      <c r="A65" s="27">
        <v>2</v>
      </c>
      <c r="B65" s="27">
        <v>12</v>
      </c>
      <c r="C65">
        <v>5.3</v>
      </c>
      <c r="D65" t="s">
        <v>120</v>
      </c>
      <c r="E65" t="str">
        <f t="shared" si="0"/>
        <v>'AddressFrom':2</v>
      </c>
      <c r="F65" t="str">
        <f t="shared" si="1"/>
        <v>'AddressTo':12</v>
      </c>
      <c r="G65" t="str">
        <f t="shared" si="2"/>
        <v>'Distance':5.3</v>
      </c>
      <c r="H65" t="s">
        <v>121</v>
      </c>
    </row>
    <row r="66" spans="1:8" x14ac:dyDescent="0.25">
      <c r="A66" s="27">
        <v>2</v>
      </c>
      <c r="B66" s="27">
        <v>13</v>
      </c>
      <c r="C66">
        <v>6.5</v>
      </c>
      <c r="D66" t="s">
        <v>120</v>
      </c>
      <c r="E66" t="str">
        <f t="shared" si="0"/>
        <v>'AddressFrom':2</v>
      </c>
      <c r="F66" t="str">
        <f t="shared" si="1"/>
        <v>'AddressTo':13</v>
      </c>
      <c r="G66" t="str">
        <f t="shared" si="2"/>
        <v>'Distance':6.5</v>
      </c>
      <c r="H66" t="s">
        <v>121</v>
      </c>
    </row>
    <row r="67" spans="1:8" x14ac:dyDescent="0.25">
      <c r="A67" s="27">
        <v>2</v>
      </c>
      <c r="B67" s="27">
        <v>14</v>
      </c>
      <c r="C67">
        <v>5.6</v>
      </c>
      <c r="D67" t="s">
        <v>120</v>
      </c>
      <c r="E67" t="str">
        <f t="shared" ref="E67:E130" si="3">"'AddressFrom':" &amp; A67</f>
        <v>'AddressFrom':2</v>
      </c>
      <c r="F67" t="str">
        <f t="shared" ref="F67:F130" si="4">"'AddressTo':" &amp; B67</f>
        <v>'AddressTo':14</v>
      </c>
      <c r="G67" t="str">
        <f t="shared" ref="G67:G130" si="5">"'Distance':" &amp; C67</f>
        <v>'Distance':5.6</v>
      </c>
      <c r="H67" t="s">
        <v>121</v>
      </c>
    </row>
    <row r="68" spans="1:8" x14ac:dyDescent="0.25">
      <c r="A68" s="27">
        <v>2</v>
      </c>
      <c r="B68" s="27">
        <v>15</v>
      </c>
      <c r="C68">
        <v>5.8</v>
      </c>
      <c r="D68" t="s">
        <v>120</v>
      </c>
      <c r="E68" t="str">
        <f t="shared" si="3"/>
        <v>'AddressFrom':2</v>
      </c>
      <c r="F68" t="str">
        <f t="shared" si="4"/>
        <v>'AddressTo':15</v>
      </c>
      <c r="G68" t="str">
        <f t="shared" si="5"/>
        <v>'Distance':5.8</v>
      </c>
      <c r="H68" t="s">
        <v>121</v>
      </c>
    </row>
    <row r="69" spans="1:8" x14ac:dyDescent="0.25">
      <c r="A69" s="27">
        <v>2</v>
      </c>
      <c r="B69" s="27">
        <v>16</v>
      </c>
      <c r="C69">
        <v>5.7</v>
      </c>
      <c r="D69" t="s">
        <v>120</v>
      </c>
      <c r="E69" t="str">
        <f t="shared" si="3"/>
        <v>'AddressFrom':2</v>
      </c>
      <c r="F69" t="str">
        <f t="shared" si="4"/>
        <v>'AddressTo':16</v>
      </c>
      <c r="G69" t="str">
        <f t="shared" si="5"/>
        <v>'Distance':5.7</v>
      </c>
      <c r="H69" t="s">
        <v>121</v>
      </c>
    </row>
    <row r="70" spans="1:8" x14ac:dyDescent="0.25">
      <c r="A70" s="27">
        <v>2</v>
      </c>
      <c r="B70" s="27">
        <v>17</v>
      </c>
      <c r="C70">
        <v>4.0999999999999996</v>
      </c>
      <c r="D70" t="s">
        <v>120</v>
      </c>
      <c r="E70" t="str">
        <f t="shared" si="3"/>
        <v>'AddressFrom':2</v>
      </c>
      <c r="F70" t="str">
        <f t="shared" si="4"/>
        <v>'AddressTo':17</v>
      </c>
      <c r="G70" t="str">
        <f t="shared" si="5"/>
        <v>'Distance':4.1</v>
      </c>
      <c r="H70" t="s">
        <v>121</v>
      </c>
    </row>
    <row r="71" spans="1:8" x14ac:dyDescent="0.25">
      <c r="A71" s="27">
        <v>2</v>
      </c>
      <c r="B71" s="27">
        <v>18</v>
      </c>
      <c r="C71">
        <v>3.6</v>
      </c>
      <c r="D71" t="s">
        <v>120</v>
      </c>
      <c r="E71" t="str">
        <f t="shared" si="3"/>
        <v>'AddressFrom':2</v>
      </c>
      <c r="F71" t="str">
        <f t="shared" si="4"/>
        <v>'AddressTo':18</v>
      </c>
      <c r="G71" t="str">
        <f t="shared" si="5"/>
        <v>'Distance':3.6</v>
      </c>
      <c r="H71" t="s">
        <v>121</v>
      </c>
    </row>
    <row r="72" spans="1:8" x14ac:dyDescent="0.25">
      <c r="A72" s="27">
        <v>2</v>
      </c>
      <c r="B72" s="27">
        <v>19</v>
      </c>
      <c r="C72">
        <v>4.3</v>
      </c>
      <c r="D72" t="s">
        <v>120</v>
      </c>
      <c r="E72" t="str">
        <f t="shared" si="3"/>
        <v>'AddressFrom':2</v>
      </c>
      <c r="F72" t="str">
        <f t="shared" si="4"/>
        <v>'AddressTo':19</v>
      </c>
      <c r="G72" t="str">
        <f t="shared" si="5"/>
        <v>'Distance':4.3</v>
      </c>
      <c r="H72" t="s">
        <v>121</v>
      </c>
    </row>
    <row r="73" spans="1:8" x14ac:dyDescent="0.25">
      <c r="A73" s="27">
        <v>2</v>
      </c>
      <c r="B73" s="27">
        <v>20</v>
      </c>
      <c r="C73">
        <v>3.3</v>
      </c>
      <c r="D73" t="s">
        <v>120</v>
      </c>
      <c r="E73" t="str">
        <f t="shared" si="3"/>
        <v>'AddressFrom':2</v>
      </c>
      <c r="F73" t="str">
        <f t="shared" si="4"/>
        <v>'AddressTo':20</v>
      </c>
      <c r="G73" t="str">
        <f t="shared" si="5"/>
        <v>'Distance':3.3</v>
      </c>
      <c r="H73" t="s">
        <v>121</v>
      </c>
    </row>
    <row r="74" spans="1:8" x14ac:dyDescent="0.25">
      <c r="A74" s="27">
        <v>2</v>
      </c>
      <c r="B74" s="27">
        <v>21</v>
      </c>
      <c r="C74">
        <v>5</v>
      </c>
      <c r="D74" t="s">
        <v>120</v>
      </c>
      <c r="E74" t="str">
        <f t="shared" si="3"/>
        <v>'AddressFrom':2</v>
      </c>
      <c r="F74" t="str">
        <f t="shared" si="4"/>
        <v>'AddressTo':21</v>
      </c>
      <c r="G74" t="str">
        <f t="shared" si="5"/>
        <v>'Distance':5</v>
      </c>
      <c r="H74" t="s">
        <v>121</v>
      </c>
    </row>
    <row r="75" spans="1:8" x14ac:dyDescent="0.25">
      <c r="A75" s="27">
        <v>2</v>
      </c>
      <c r="B75" s="27">
        <v>22</v>
      </c>
      <c r="C75">
        <v>6.1</v>
      </c>
      <c r="D75" t="s">
        <v>120</v>
      </c>
      <c r="E75" t="str">
        <f t="shared" si="3"/>
        <v>'AddressFrom':2</v>
      </c>
      <c r="F75" t="str">
        <f t="shared" si="4"/>
        <v>'AddressTo':22</v>
      </c>
      <c r="G75" t="str">
        <f t="shared" si="5"/>
        <v>'Distance':6.1</v>
      </c>
      <c r="H75" t="s">
        <v>121</v>
      </c>
    </row>
    <row r="76" spans="1:8" x14ac:dyDescent="0.25">
      <c r="A76" s="27">
        <v>2</v>
      </c>
      <c r="B76" s="27">
        <v>23</v>
      </c>
      <c r="C76">
        <v>9.6999999999999993</v>
      </c>
      <c r="D76" t="s">
        <v>120</v>
      </c>
      <c r="E76" t="str">
        <f t="shared" si="3"/>
        <v>'AddressFrom':2</v>
      </c>
      <c r="F76" t="str">
        <f t="shared" si="4"/>
        <v>'AddressTo':23</v>
      </c>
      <c r="G76" t="str">
        <f t="shared" si="5"/>
        <v>'Distance':9.7</v>
      </c>
      <c r="H76" t="s">
        <v>121</v>
      </c>
    </row>
    <row r="77" spans="1:8" x14ac:dyDescent="0.25">
      <c r="A77" s="27">
        <v>2</v>
      </c>
      <c r="B77" s="27">
        <v>24</v>
      </c>
      <c r="C77">
        <v>6.1</v>
      </c>
      <c r="D77" t="s">
        <v>120</v>
      </c>
      <c r="E77" t="str">
        <f t="shared" si="3"/>
        <v>'AddressFrom':2</v>
      </c>
      <c r="F77" t="str">
        <f t="shared" si="4"/>
        <v>'AddressTo':24</v>
      </c>
      <c r="G77" t="str">
        <f t="shared" si="5"/>
        <v>'Distance':6.1</v>
      </c>
      <c r="H77" t="s">
        <v>121</v>
      </c>
    </row>
    <row r="78" spans="1:8" x14ac:dyDescent="0.25">
      <c r="A78" s="27">
        <v>2</v>
      </c>
      <c r="B78" s="27">
        <v>25</v>
      </c>
      <c r="C78">
        <v>2.8</v>
      </c>
      <c r="D78" t="s">
        <v>120</v>
      </c>
      <c r="E78" t="str">
        <f t="shared" si="3"/>
        <v>'AddressFrom':2</v>
      </c>
      <c r="F78" t="str">
        <f t="shared" si="4"/>
        <v>'AddressTo':25</v>
      </c>
      <c r="G78" t="str">
        <f t="shared" si="5"/>
        <v>'Distance':2.8</v>
      </c>
      <c r="H78" t="s">
        <v>121</v>
      </c>
    </row>
    <row r="79" spans="1:8" x14ac:dyDescent="0.25">
      <c r="A79" s="27">
        <v>2</v>
      </c>
      <c r="B79" s="27">
        <v>26</v>
      </c>
      <c r="C79">
        <v>7.4</v>
      </c>
      <c r="D79" t="s">
        <v>120</v>
      </c>
      <c r="E79" t="str">
        <f t="shared" si="3"/>
        <v>'AddressFrom':2</v>
      </c>
      <c r="F79" t="str">
        <f t="shared" si="4"/>
        <v>'AddressTo':26</v>
      </c>
      <c r="G79" t="str">
        <f t="shared" si="5"/>
        <v>'Distance':7.4</v>
      </c>
      <c r="H79" t="s">
        <v>121</v>
      </c>
    </row>
    <row r="80" spans="1:8" x14ac:dyDescent="0.25">
      <c r="A80" s="27">
        <v>3</v>
      </c>
      <c r="B80" s="27">
        <v>3</v>
      </c>
      <c r="C80">
        <v>0</v>
      </c>
      <c r="D80" t="s">
        <v>120</v>
      </c>
      <c r="E80" t="str">
        <f t="shared" si="3"/>
        <v>'AddressFrom':3</v>
      </c>
      <c r="F80" t="str">
        <f t="shared" si="4"/>
        <v>'AddressTo':3</v>
      </c>
      <c r="G80" t="str">
        <f t="shared" si="5"/>
        <v>'Distance':0</v>
      </c>
      <c r="H80" t="s">
        <v>121</v>
      </c>
    </row>
    <row r="81" spans="1:8" x14ac:dyDescent="0.25">
      <c r="A81" s="27">
        <v>3</v>
      </c>
      <c r="B81" s="27">
        <v>4</v>
      </c>
      <c r="C81">
        <v>5.6</v>
      </c>
      <c r="D81" t="s">
        <v>120</v>
      </c>
      <c r="E81" t="str">
        <f t="shared" si="3"/>
        <v>'AddressFrom':3</v>
      </c>
      <c r="F81" t="str">
        <f t="shared" si="4"/>
        <v>'AddressTo':4</v>
      </c>
      <c r="G81" t="str">
        <f t="shared" si="5"/>
        <v>'Distance':5.6</v>
      </c>
      <c r="H81" t="s">
        <v>121</v>
      </c>
    </row>
    <row r="82" spans="1:8" x14ac:dyDescent="0.25">
      <c r="A82" s="27">
        <v>3</v>
      </c>
      <c r="B82" s="27">
        <v>5</v>
      </c>
      <c r="C82">
        <v>6.9</v>
      </c>
      <c r="D82" t="s">
        <v>120</v>
      </c>
      <c r="E82" t="str">
        <f t="shared" si="3"/>
        <v>'AddressFrom':3</v>
      </c>
      <c r="F82" t="str">
        <f t="shared" si="4"/>
        <v>'AddressTo':5</v>
      </c>
      <c r="G82" t="str">
        <f t="shared" si="5"/>
        <v>'Distance':6.9</v>
      </c>
      <c r="H82" t="s">
        <v>121</v>
      </c>
    </row>
    <row r="83" spans="1:8" x14ac:dyDescent="0.25">
      <c r="A83" s="27">
        <v>3</v>
      </c>
      <c r="B83" s="27">
        <v>6</v>
      </c>
      <c r="C83">
        <v>8.6</v>
      </c>
      <c r="D83" t="s">
        <v>120</v>
      </c>
      <c r="E83" t="str">
        <f t="shared" si="3"/>
        <v>'AddressFrom':3</v>
      </c>
      <c r="F83" t="str">
        <f t="shared" si="4"/>
        <v>'AddressTo':6</v>
      </c>
      <c r="G83" t="str">
        <f t="shared" si="5"/>
        <v>'Distance':8.6</v>
      </c>
      <c r="H83" t="s">
        <v>121</v>
      </c>
    </row>
    <row r="84" spans="1:8" x14ac:dyDescent="0.25">
      <c r="A84" s="27">
        <v>3</v>
      </c>
      <c r="B84" s="27">
        <v>7</v>
      </c>
      <c r="C84">
        <v>4</v>
      </c>
      <c r="D84" t="s">
        <v>120</v>
      </c>
      <c r="E84" t="str">
        <f t="shared" si="3"/>
        <v>'AddressFrom':3</v>
      </c>
      <c r="F84" t="str">
        <f t="shared" si="4"/>
        <v>'AddressTo':7</v>
      </c>
      <c r="G84" t="str">
        <f t="shared" si="5"/>
        <v>'Distance':4</v>
      </c>
      <c r="H84" t="s">
        <v>121</v>
      </c>
    </row>
    <row r="85" spans="1:8" x14ac:dyDescent="0.25">
      <c r="A85" s="27">
        <v>3</v>
      </c>
      <c r="B85" s="27">
        <v>8</v>
      </c>
      <c r="C85">
        <v>11.1</v>
      </c>
      <c r="D85" t="s">
        <v>120</v>
      </c>
      <c r="E85" t="str">
        <f t="shared" si="3"/>
        <v>'AddressFrom':3</v>
      </c>
      <c r="F85" t="str">
        <f t="shared" si="4"/>
        <v>'AddressTo':8</v>
      </c>
      <c r="G85" t="str">
        <f t="shared" si="5"/>
        <v>'Distance':11.1</v>
      </c>
      <c r="H85" t="s">
        <v>121</v>
      </c>
    </row>
    <row r="86" spans="1:8" x14ac:dyDescent="0.25">
      <c r="A86" s="27">
        <v>3</v>
      </c>
      <c r="B86" s="27">
        <v>9</v>
      </c>
      <c r="C86">
        <v>7.3</v>
      </c>
      <c r="D86" t="s">
        <v>120</v>
      </c>
      <c r="E86" t="str">
        <f t="shared" si="3"/>
        <v>'AddressFrom':3</v>
      </c>
      <c r="F86" t="str">
        <f t="shared" si="4"/>
        <v>'AddressTo':9</v>
      </c>
      <c r="G86" t="str">
        <f t="shared" si="5"/>
        <v>'Distance':7.3</v>
      </c>
      <c r="H86" t="s">
        <v>121</v>
      </c>
    </row>
    <row r="87" spans="1:8" x14ac:dyDescent="0.25">
      <c r="A87" s="27">
        <v>3</v>
      </c>
      <c r="B87" s="27">
        <v>10</v>
      </c>
      <c r="C87">
        <v>1</v>
      </c>
      <c r="D87" t="s">
        <v>120</v>
      </c>
      <c r="E87" t="str">
        <f t="shared" si="3"/>
        <v>'AddressFrom':3</v>
      </c>
      <c r="F87" t="str">
        <f t="shared" si="4"/>
        <v>'AddressTo':10</v>
      </c>
      <c r="G87" t="str">
        <f t="shared" si="5"/>
        <v>'Distance':1</v>
      </c>
      <c r="H87" t="s">
        <v>121</v>
      </c>
    </row>
    <row r="88" spans="1:8" x14ac:dyDescent="0.25">
      <c r="A88" s="27">
        <v>3</v>
      </c>
      <c r="B88" s="27">
        <v>11</v>
      </c>
      <c r="C88">
        <v>6.4</v>
      </c>
      <c r="D88" t="s">
        <v>120</v>
      </c>
      <c r="E88" t="str">
        <f t="shared" si="3"/>
        <v>'AddressFrom':3</v>
      </c>
      <c r="F88" t="str">
        <f t="shared" si="4"/>
        <v>'AddressTo':11</v>
      </c>
      <c r="G88" t="str">
        <f t="shared" si="5"/>
        <v>'Distance':6.4</v>
      </c>
      <c r="H88" t="s">
        <v>121</v>
      </c>
    </row>
    <row r="89" spans="1:8" x14ac:dyDescent="0.25">
      <c r="A89" s="27">
        <v>3</v>
      </c>
      <c r="B89" s="27">
        <v>12</v>
      </c>
      <c r="C89">
        <v>11.1</v>
      </c>
      <c r="D89" t="s">
        <v>120</v>
      </c>
      <c r="E89" t="str">
        <f t="shared" si="3"/>
        <v>'AddressFrom':3</v>
      </c>
      <c r="F89" t="str">
        <f t="shared" si="4"/>
        <v>'AddressTo':12</v>
      </c>
      <c r="G89" t="str">
        <f t="shared" si="5"/>
        <v>'Distance':11.1</v>
      </c>
      <c r="H89" t="s">
        <v>121</v>
      </c>
    </row>
    <row r="90" spans="1:8" x14ac:dyDescent="0.25">
      <c r="A90" s="27">
        <v>3</v>
      </c>
      <c r="B90" s="27">
        <v>13</v>
      </c>
      <c r="C90">
        <v>3.9</v>
      </c>
      <c r="D90" t="s">
        <v>120</v>
      </c>
      <c r="E90" t="str">
        <f t="shared" si="3"/>
        <v>'AddressFrom':3</v>
      </c>
      <c r="F90" t="str">
        <f t="shared" si="4"/>
        <v>'AddressTo':13</v>
      </c>
      <c r="G90" t="str">
        <f t="shared" si="5"/>
        <v>'Distance':3.9</v>
      </c>
      <c r="H90" t="s">
        <v>121</v>
      </c>
    </row>
    <row r="91" spans="1:8" x14ac:dyDescent="0.25">
      <c r="A91" s="27">
        <v>3</v>
      </c>
      <c r="B91" s="27">
        <v>14</v>
      </c>
      <c r="C91">
        <v>4.3</v>
      </c>
      <c r="D91" t="s">
        <v>120</v>
      </c>
      <c r="E91" t="str">
        <f t="shared" si="3"/>
        <v>'AddressFrom':3</v>
      </c>
      <c r="F91" t="str">
        <f t="shared" si="4"/>
        <v>'AddressTo':14</v>
      </c>
      <c r="G91" t="str">
        <f t="shared" si="5"/>
        <v>'Distance':4.3</v>
      </c>
      <c r="H91" t="s">
        <v>121</v>
      </c>
    </row>
    <row r="92" spans="1:8" x14ac:dyDescent="0.25">
      <c r="A92" s="27">
        <v>3</v>
      </c>
      <c r="B92" s="27">
        <v>15</v>
      </c>
      <c r="C92">
        <v>4.4000000000000004</v>
      </c>
      <c r="D92" t="s">
        <v>120</v>
      </c>
      <c r="E92" t="str">
        <f t="shared" si="3"/>
        <v>'AddressFrom':3</v>
      </c>
      <c r="F92" t="str">
        <f t="shared" si="4"/>
        <v>'AddressTo':15</v>
      </c>
      <c r="G92" t="str">
        <f t="shared" si="5"/>
        <v>'Distance':4.4</v>
      </c>
      <c r="H92" t="s">
        <v>121</v>
      </c>
    </row>
    <row r="93" spans="1:8" x14ac:dyDescent="0.25">
      <c r="A93" s="27">
        <v>3</v>
      </c>
      <c r="B93" s="27">
        <v>16</v>
      </c>
      <c r="C93">
        <v>7.2</v>
      </c>
      <c r="D93" t="s">
        <v>120</v>
      </c>
      <c r="E93" t="str">
        <f t="shared" si="3"/>
        <v>'AddressFrom':3</v>
      </c>
      <c r="F93" t="str">
        <f t="shared" si="4"/>
        <v>'AddressTo':16</v>
      </c>
      <c r="G93" t="str">
        <f t="shared" si="5"/>
        <v>'Distance':7.2</v>
      </c>
      <c r="H93" t="s">
        <v>121</v>
      </c>
    </row>
    <row r="94" spans="1:8" x14ac:dyDescent="0.25">
      <c r="A94" s="27">
        <v>3</v>
      </c>
      <c r="B94" s="27">
        <v>17</v>
      </c>
      <c r="C94">
        <v>5.3</v>
      </c>
      <c r="D94" t="s">
        <v>120</v>
      </c>
      <c r="E94" t="str">
        <f t="shared" si="3"/>
        <v>'AddressFrom':3</v>
      </c>
      <c r="F94" t="str">
        <f t="shared" si="4"/>
        <v>'AddressTo':17</v>
      </c>
      <c r="G94" t="str">
        <f t="shared" si="5"/>
        <v>'Distance':5.3</v>
      </c>
      <c r="H94" t="s">
        <v>121</v>
      </c>
    </row>
    <row r="95" spans="1:8" x14ac:dyDescent="0.25">
      <c r="A95" s="27">
        <v>3</v>
      </c>
      <c r="B95" s="27">
        <v>18</v>
      </c>
      <c r="C95">
        <v>6</v>
      </c>
      <c r="D95" t="s">
        <v>120</v>
      </c>
      <c r="E95" t="str">
        <f t="shared" si="3"/>
        <v>'AddressFrom':3</v>
      </c>
      <c r="F95" t="str">
        <f t="shared" si="4"/>
        <v>'AddressTo':18</v>
      </c>
      <c r="G95" t="str">
        <f t="shared" si="5"/>
        <v>'Distance':6</v>
      </c>
      <c r="H95" t="s">
        <v>121</v>
      </c>
    </row>
    <row r="96" spans="1:8" x14ac:dyDescent="0.25">
      <c r="A96" s="27">
        <v>3</v>
      </c>
      <c r="B96" s="27">
        <v>19</v>
      </c>
      <c r="C96">
        <v>10.6</v>
      </c>
      <c r="D96" t="s">
        <v>120</v>
      </c>
      <c r="E96" t="str">
        <f t="shared" si="3"/>
        <v>'AddressFrom':3</v>
      </c>
      <c r="F96" t="str">
        <f t="shared" si="4"/>
        <v>'AddressTo':19</v>
      </c>
      <c r="G96" t="str">
        <f t="shared" si="5"/>
        <v>'Distance':10.6</v>
      </c>
      <c r="H96" t="s">
        <v>121</v>
      </c>
    </row>
    <row r="97" spans="1:8" x14ac:dyDescent="0.25">
      <c r="A97" s="27">
        <v>3</v>
      </c>
      <c r="B97" s="27">
        <v>20</v>
      </c>
      <c r="C97">
        <v>5.9</v>
      </c>
      <c r="D97" t="s">
        <v>120</v>
      </c>
      <c r="E97" t="str">
        <f t="shared" si="3"/>
        <v>'AddressFrom':3</v>
      </c>
      <c r="F97" t="str">
        <f t="shared" si="4"/>
        <v>'AddressTo':20</v>
      </c>
      <c r="G97" t="str">
        <f t="shared" si="5"/>
        <v>'Distance':5.9</v>
      </c>
      <c r="H97" t="s">
        <v>121</v>
      </c>
    </row>
    <row r="98" spans="1:8" x14ac:dyDescent="0.25">
      <c r="A98" s="27">
        <v>3</v>
      </c>
      <c r="B98" s="27">
        <v>21</v>
      </c>
      <c r="C98">
        <v>7.4</v>
      </c>
      <c r="D98" t="s">
        <v>120</v>
      </c>
      <c r="E98" t="str">
        <f t="shared" si="3"/>
        <v>'AddressFrom':3</v>
      </c>
      <c r="F98" t="str">
        <f t="shared" si="4"/>
        <v>'AddressTo':21</v>
      </c>
      <c r="G98" t="str">
        <f t="shared" si="5"/>
        <v>'Distance':7.4</v>
      </c>
      <c r="H98" t="s">
        <v>121</v>
      </c>
    </row>
    <row r="99" spans="1:8" x14ac:dyDescent="0.25">
      <c r="A99" s="27">
        <v>3</v>
      </c>
      <c r="B99" s="27">
        <v>22</v>
      </c>
      <c r="C99">
        <v>4.7</v>
      </c>
      <c r="D99" t="s">
        <v>120</v>
      </c>
      <c r="E99" t="str">
        <f t="shared" si="3"/>
        <v>'AddressFrom':3</v>
      </c>
      <c r="F99" t="str">
        <f t="shared" si="4"/>
        <v>'AddressTo':22</v>
      </c>
      <c r="G99" t="str">
        <f t="shared" si="5"/>
        <v>'Distance':4.7</v>
      </c>
      <c r="H99" t="s">
        <v>121</v>
      </c>
    </row>
    <row r="100" spans="1:8" x14ac:dyDescent="0.25">
      <c r="A100" s="27">
        <v>3</v>
      </c>
      <c r="B100" s="27">
        <v>23</v>
      </c>
      <c r="C100">
        <v>0.6</v>
      </c>
      <c r="D100" t="s">
        <v>120</v>
      </c>
      <c r="E100" t="str">
        <f t="shared" si="3"/>
        <v>'AddressFrom':3</v>
      </c>
      <c r="F100" t="str">
        <f t="shared" si="4"/>
        <v>'AddressTo':23</v>
      </c>
      <c r="G100" t="str">
        <f t="shared" si="5"/>
        <v>'Distance':0.6</v>
      </c>
      <c r="H100" t="s">
        <v>121</v>
      </c>
    </row>
    <row r="101" spans="1:8" x14ac:dyDescent="0.25">
      <c r="A101" s="27">
        <v>3</v>
      </c>
      <c r="B101" s="27">
        <v>24</v>
      </c>
      <c r="C101">
        <v>6.4</v>
      </c>
      <c r="D101" t="s">
        <v>120</v>
      </c>
      <c r="E101" t="str">
        <f t="shared" si="3"/>
        <v>'AddressFrom':3</v>
      </c>
      <c r="F101" t="str">
        <f t="shared" si="4"/>
        <v>'AddressTo':24</v>
      </c>
      <c r="G101" t="str">
        <f t="shared" si="5"/>
        <v>'Distance':6.4</v>
      </c>
      <c r="H101" t="s">
        <v>121</v>
      </c>
    </row>
    <row r="102" spans="1:8" x14ac:dyDescent="0.25">
      <c r="A102" s="27">
        <v>3</v>
      </c>
      <c r="B102" s="27">
        <v>25</v>
      </c>
      <c r="C102">
        <v>10.1</v>
      </c>
      <c r="D102" t="s">
        <v>120</v>
      </c>
      <c r="E102" t="str">
        <f t="shared" si="3"/>
        <v>'AddressFrom':3</v>
      </c>
      <c r="F102" t="str">
        <f t="shared" si="4"/>
        <v>'AddressTo':25</v>
      </c>
      <c r="G102" t="str">
        <f t="shared" si="5"/>
        <v>'Distance':10.1</v>
      </c>
      <c r="H102" t="s">
        <v>121</v>
      </c>
    </row>
    <row r="103" spans="1:8" x14ac:dyDescent="0.25">
      <c r="A103" s="27">
        <v>3</v>
      </c>
      <c r="B103" s="27">
        <v>26</v>
      </c>
      <c r="C103">
        <v>10.1</v>
      </c>
      <c r="D103" t="s">
        <v>120</v>
      </c>
      <c r="E103" t="str">
        <f t="shared" si="3"/>
        <v>'AddressFrom':3</v>
      </c>
      <c r="F103" t="str">
        <f t="shared" si="4"/>
        <v>'AddressTo':26</v>
      </c>
      <c r="G103" t="str">
        <f t="shared" si="5"/>
        <v>'Distance':10.1</v>
      </c>
      <c r="H103" t="s">
        <v>121</v>
      </c>
    </row>
    <row r="104" spans="1:8" x14ac:dyDescent="0.25">
      <c r="A104" s="27">
        <v>4</v>
      </c>
      <c r="B104" s="27">
        <v>4</v>
      </c>
      <c r="C104">
        <v>0</v>
      </c>
      <c r="D104" t="s">
        <v>120</v>
      </c>
      <c r="E104" t="str">
        <f t="shared" si="3"/>
        <v>'AddressFrom':4</v>
      </c>
      <c r="F104" t="str">
        <f t="shared" si="4"/>
        <v>'AddressTo':4</v>
      </c>
      <c r="G104" t="str">
        <f t="shared" si="5"/>
        <v>'Distance':0</v>
      </c>
      <c r="H104" t="s">
        <v>121</v>
      </c>
    </row>
    <row r="105" spans="1:8" x14ac:dyDescent="0.25">
      <c r="A105" s="27">
        <v>4</v>
      </c>
      <c r="B105" s="27">
        <v>5</v>
      </c>
      <c r="C105">
        <v>1.9</v>
      </c>
      <c r="D105" t="s">
        <v>120</v>
      </c>
      <c r="E105" t="str">
        <f t="shared" si="3"/>
        <v>'AddressFrom':4</v>
      </c>
      <c r="F105" t="str">
        <f t="shared" si="4"/>
        <v>'AddressTo':5</v>
      </c>
      <c r="G105" t="str">
        <f t="shared" si="5"/>
        <v>'Distance':1.9</v>
      </c>
      <c r="H105" t="s">
        <v>121</v>
      </c>
    </row>
    <row r="106" spans="1:8" x14ac:dyDescent="0.25">
      <c r="A106" s="27">
        <v>4</v>
      </c>
      <c r="B106" s="27">
        <v>6</v>
      </c>
      <c r="C106">
        <v>7.9</v>
      </c>
      <c r="D106" t="s">
        <v>120</v>
      </c>
      <c r="E106" t="str">
        <f t="shared" si="3"/>
        <v>'AddressFrom':4</v>
      </c>
      <c r="F106" t="str">
        <f t="shared" si="4"/>
        <v>'AddressTo':6</v>
      </c>
      <c r="G106" t="str">
        <f t="shared" si="5"/>
        <v>'Distance':7.9</v>
      </c>
      <c r="H106" t="s">
        <v>121</v>
      </c>
    </row>
    <row r="107" spans="1:8" x14ac:dyDescent="0.25">
      <c r="A107" s="27">
        <v>4</v>
      </c>
      <c r="B107" s="27">
        <v>7</v>
      </c>
      <c r="C107">
        <v>5.0999999999999996</v>
      </c>
      <c r="D107" t="s">
        <v>120</v>
      </c>
      <c r="E107" t="str">
        <f t="shared" si="3"/>
        <v>'AddressFrom':4</v>
      </c>
      <c r="F107" t="str">
        <f t="shared" si="4"/>
        <v>'AddressTo':7</v>
      </c>
      <c r="G107" t="str">
        <f t="shared" si="5"/>
        <v>'Distance':5.1</v>
      </c>
      <c r="H107" t="s">
        <v>121</v>
      </c>
    </row>
    <row r="108" spans="1:8" x14ac:dyDescent="0.25">
      <c r="A108" s="27">
        <v>4</v>
      </c>
      <c r="B108" s="27">
        <v>8</v>
      </c>
      <c r="C108">
        <v>7.5</v>
      </c>
      <c r="D108" t="s">
        <v>120</v>
      </c>
      <c r="E108" t="str">
        <f t="shared" si="3"/>
        <v>'AddressFrom':4</v>
      </c>
      <c r="F108" t="str">
        <f t="shared" si="4"/>
        <v>'AddressTo':8</v>
      </c>
      <c r="G108" t="str">
        <f t="shared" si="5"/>
        <v>'Distance':7.5</v>
      </c>
      <c r="H108" t="s">
        <v>121</v>
      </c>
    </row>
    <row r="109" spans="1:8" x14ac:dyDescent="0.25">
      <c r="A109" s="27">
        <v>4</v>
      </c>
      <c r="B109" s="27">
        <v>9</v>
      </c>
      <c r="C109">
        <v>2.6</v>
      </c>
      <c r="D109" t="s">
        <v>120</v>
      </c>
      <c r="E109" t="str">
        <f t="shared" si="3"/>
        <v>'AddressFrom':4</v>
      </c>
      <c r="F109" t="str">
        <f t="shared" si="4"/>
        <v>'AddressTo':9</v>
      </c>
      <c r="G109" t="str">
        <f t="shared" si="5"/>
        <v>'Distance':2.6</v>
      </c>
      <c r="H109" t="s">
        <v>121</v>
      </c>
    </row>
    <row r="110" spans="1:8" x14ac:dyDescent="0.25">
      <c r="A110" s="27">
        <v>4</v>
      </c>
      <c r="B110" s="27">
        <v>10</v>
      </c>
      <c r="C110">
        <v>6.5</v>
      </c>
      <c r="D110" t="s">
        <v>120</v>
      </c>
      <c r="E110" t="str">
        <f t="shared" si="3"/>
        <v>'AddressFrom':4</v>
      </c>
      <c r="F110" t="str">
        <f t="shared" si="4"/>
        <v>'AddressTo':10</v>
      </c>
      <c r="G110" t="str">
        <f t="shared" si="5"/>
        <v>'Distance':6.5</v>
      </c>
      <c r="H110" t="s">
        <v>121</v>
      </c>
    </row>
    <row r="111" spans="1:8" x14ac:dyDescent="0.25">
      <c r="A111" s="27">
        <v>4</v>
      </c>
      <c r="B111" s="27">
        <v>11</v>
      </c>
      <c r="C111">
        <v>1.5</v>
      </c>
      <c r="D111" t="s">
        <v>120</v>
      </c>
      <c r="E111" t="str">
        <f t="shared" si="3"/>
        <v>'AddressFrom':4</v>
      </c>
      <c r="F111" t="str">
        <f t="shared" si="4"/>
        <v>'AddressTo':11</v>
      </c>
      <c r="G111" t="str">
        <f t="shared" si="5"/>
        <v>'Distance':1.5</v>
      </c>
      <c r="H111" t="s">
        <v>121</v>
      </c>
    </row>
    <row r="112" spans="1:8" x14ac:dyDescent="0.25">
      <c r="A112" s="27">
        <v>4</v>
      </c>
      <c r="B112" s="27">
        <v>12</v>
      </c>
      <c r="C112">
        <v>7.5</v>
      </c>
      <c r="D112" t="s">
        <v>120</v>
      </c>
      <c r="E112" t="str">
        <f t="shared" si="3"/>
        <v>'AddressFrom':4</v>
      </c>
      <c r="F112" t="str">
        <f t="shared" si="4"/>
        <v>'AddressTo':12</v>
      </c>
      <c r="G112" t="str">
        <f t="shared" si="5"/>
        <v>'Distance':7.5</v>
      </c>
      <c r="H112" t="s">
        <v>121</v>
      </c>
    </row>
    <row r="113" spans="1:8" x14ac:dyDescent="0.25">
      <c r="A113" s="27">
        <v>4</v>
      </c>
      <c r="B113" s="27">
        <v>13</v>
      </c>
      <c r="C113">
        <v>3.2</v>
      </c>
      <c r="D113" t="s">
        <v>120</v>
      </c>
      <c r="E113" t="str">
        <f t="shared" si="3"/>
        <v>'AddressFrom':4</v>
      </c>
      <c r="F113" t="str">
        <f t="shared" si="4"/>
        <v>'AddressTo':13</v>
      </c>
      <c r="G113" t="str">
        <f t="shared" si="5"/>
        <v>'Distance':3.2</v>
      </c>
      <c r="H113" t="s">
        <v>121</v>
      </c>
    </row>
    <row r="114" spans="1:8" x14ac:dyDescent="0.25">
      <c r="A114" s="27">
        <v>4</v>
      </c>
      <c r="B114" s="27">
        <v>14</v>
      </c>
      <c r="C114">
        <v>2.4</v>
      </c>
      <c r="D114" t="s">
        <v>120</v>
      </c>
      <c r="E114" t="str">
        <f t="shared" si="3"/>
        <v>'AddressFrom':4</v>
      </c>
      <c r="F114" t="str">
        <f t="shared" si="4"/>
        <v>'AddressTo':14</v>
      </c>
      <c r="G114" t="str">
        <f t="shared" si="5"/>
        <v>'Distance':2.4</v>
      </c>
      <c r="H114" t="s">
        <v>121</v>
      </c>
    </row>
    <row r="115" spans="1:8" x14ac:dyDescent="0.25">
      <c r="A115" s="27">
        <v>4</v>
      </c>
      <c r="B115" s="27">
        <v>15</v>
      </c>
      <c r="C115">
        <v>2.7</v>
      </c>
      <c r="D115" t="s">
        <v>120</v>
      </c>
      <c r="E115" t="str">
        <f t="shared" si="3"/>
        <v>'AddressFrom':4</v>
      </c>
      <c r="F115" t="str">
        <f t="shared" si="4"/>
        <v>'AddressTo':15</v>
      </c>
      <c r="G115" t="str">
        <f t="shared" si="5"/>
        <v>'Distance':2.7</v>
      </c>
      <c r="H115" t="s">
        <v>121</v>
      </c>
    </row>
    <row r="116" spans="1:8" x14ac:dyDescent="0.25">
      <c r="A116" s="27">
        <v>4</v>
      </c>
      <c r="B116" s="27">
        <v>16</v>
      </c>
      <c r="C116">
        <v>1.4</v>
      </c>
      <c r="D116" t="s">
        <v>120</v>
      </c>
      <c r="E116" t="str">
        <f t="shared" si="3"/>
        <v>'AddressFrom':4</v>
      </c>
      <c r="F116" t="str">
        <f t="shared" si="4"/>
        <v>'AddressTo':16</v>
      </c>
      <c r="G116" t="str">
        <f t="shared" si="5"/>
        <v>'Distance':1.4</v>
      </c>
      <c r="H116" t="s">
        <v>121</v>
      </c>
    </row>
    <row r="117" spans="1:8" x14ac:dyDescent="0.25">
      <c r="A117" s="27">
        <v>4</v>
      </c>
      <c r="B117" s="27">
        <v>17</v>
      </c>
      <c r="C117">
        <v>0.5</v>
      </c>
      <c r="D117" t="s">
        <v>120</v>
      </c>
      <c r="E117" t="str">
        <f t="shared" si="3"/>
        <v>'AddressFrom':4</v>
      </c>
      <c r="F117" t="str">
        <f t="shared" si="4"/>
        <v>'AddressTo':17</v>
      </c>
      <c r="G117" t="str">
        <f t="shared" si="5"/>
        <v>'Distance':0.5</v>
      </c>
      <c r="H117" t="s">
        <v>121</v>
      </c>
    </row>
    <row r="118" spans="1:8" x14ac:dyDescent="0.25">
      <c r="A118" s="27">
        <v>4</v>
      </c>
      <c r="B118" s="27">
        <v>18</v>
      </c>
      <c r="C118">
        <v>1.7</v>
      </c>
      <c r="D118" t="s">
        <v>120</v>
      </c>
      <c r="E118" t="str">
        <f t="shared" si="3"/>
        <v>'AddressFrom':4</v>
      </c>
      <c r="F118" t="str">
        <f t="shared" si="4"/>
        <v>'AddressTo':18</v>
      </c>
      <c r="G118" t="str">
        <f t="shared" si="5"/>
        <v>'Distance':1.7</v>
      </c>
      <c r="H118" t="s">
        <v>121</v>
      </c>
    </row>
    <row r="119" spans="1:8" x14ac:dyDescent="0.25">
      <c r="A119" s="27">
        <v>4</v>
      </c>
      <c r="B119" s="27">
        <v>19</v>
      </c>
      <c r="C119">
        <v>6.5</v>
      </c>
      <c r="D119" t="s">
        <v>120</v>
      </c>
      <c r="E119" t="str">
        <f t="shared" si="3"/>
        <v>'AddressFrom':4</v>
      </c>
      <c r="F119" t="str">
        <f t="shared" si="4"/>
        <v>'AddressTo':19</v>
      </c>
      <c r="G119" t="str">
        <f t="shared" si="5"/>
        <v>'Distance':6.5</v>
      </c>
      <c r="H119" t="s">
        <v>121</v>
      </c>
    </row>
    <row r="120" spans="1:8" x14ac:dyDescent="0.25">
      <c r="A120" s="27">
        <v>4</v>
      </c>
      <c r="B120" s="27">
        <v>20</v>
      </c>
      <c r="C120">
        <v>3.2</v>
      </c>
      <c r="D120" t="s">
        <v>120</v>
      </c>
      <c r="E120" t="str">
        <f t="shared" si="3"/>
        <v>'AddressFrom':4</v>
      </c>
      <c r="F120" t="str">
        <f t="shared" si="4"/>
        <v>'AddressTo':20</v>
      </c>
      <c r="G120" t="str">
        <f t="shared" si="5"/>
        <v>'Distance':3.2</v>
      </c>
      <c r="H120" t="s">
        <v>121</v>
      </c>
    </row>
    <row r="121" spans="1:8" x14ac:dyDescent="0.25">
      <c r="A121" s="27">
        <v>4</v>
      </c>
      <c r="B121" s="27">
        <v>21</v>
      </c>
      <c r="C121">
        <v>5.2</v>
      </c>
      <c r="D121" t="s">
        <v>120</v>
      </c>
      <c r="E121" t="str">
        <f t="shared" si="3"/>
        <v>'AddressFrom':4</v>
      </c>
      <c r="F121" t="str">
        <f t="shared" si="4"/>
        <v>'AddressTo':21</v>
      </c>
      <c r="G121" t="str">
        <f t="shared" si="5"/>
        <v>'Distance':5.2</v>
      </c>
      <c r="H121" t="s">
        <v>121</v>
      </c>
    </row>
    <row r="122" spans="1:8" x14ac:dyDescent="0.25">
      <c r="A122" s="27">
        <v>4</v>
      </c>
      <c r="B122" s="27">
        <v>22</v>
      </c>
      <c r="C122">
        <v>2.5</v>
      </c>
      <c r="D122" t="s">
        <v>120</v>
      </c>
      <c r="E122" t="str">
        <f t="shared" si="3"/>
        <v>'AddressFrom':4</v>
      </c>
      <c r="F122" t="str">
        <f t="shared" si="4"/>
        <v>'AddressTo':22</v>
      </c>
      <c r="G122" t="str">
        <f t="shared" si="5"/>
        <v>'Distance':2.5</v>
      </c>
      <c r="H122" t="s">
        <v>121</v>
      </c>
    </row>
    <row r="123" spans="1:8" x14ac:dyDescent="0.25">
      <c r="A123" s="27">
        <v>4</v>
      </c>
      <c r="B123" s="27">
        <v>23</v>
      </c>
      <c r="C123">
        <v>6</v>
      </c>
      <c r="D123" t="s">
        <v>120</v>
      </c>
      <c r="E123" t="str">
        <f t="shared" si="3"/>
        <v>'AddressFrom':4</v>
      </c>
      <c r="F123" t="str">
        <f t="shared" si="4"/>
        <v>'AddressTo':23</v>
      </c>
      <c r="G123" t="str">
        <f t="shared" si="5"/>
        <v>'Distance':6</v>
      </c>
      <c r="H123" t="s">
        <v>121</v>
      </c>
    </row>
    <row r="124" spans="1:8" x14ac:dyDescent="0.25">
      <c r="A124" s="27">
        <v>4</v>
      </c>
      <c r="B124" s="27">
        <v>24</v>
      </c>
      <c r="C124">
        <v>4.2</v>
      </c>
      <c r="D124" t="s">
        <v>120</v>
      </c>
      <c r="E124" t="str">
        <f t="shared" si="3"/>
        <v>'AddressFrom':4</v>
      </c>
      <c r="F124" t="str">
        <f t="shared" si="4"/>
        <v>'AddressTo':24</v>
      </c>
      <c r="G124" t="str">
        <f t="shared" si="5"/>
        <v>'Distance':4.2</v>
      </c>
      <c r="H124" t="s">
        <v>121</v>
      </c>
    </row>
    <row r="125" spans="1:8" x14ac:dyDescent="0.25">
      <c r="A125" s="27">
        <v>4</v>
      </c>
      <c r="B125" s="27">
        <v>25</v>
      </c>
      <c r="C125">
        <v>5.4</v>
      </c>
      <c r="D125" t="s">
        <v>120</v>
      </c>
      <c r="E125" t="str">
        <f t="shared" si="3"/>
        <v>'AddressFrom':4</v>
      </c>
      <c r="F125" t="str">
        <f t="shared" si="4"/>
        <v>'AddressTo':25</v>
      </c>
      <c r="G125" t="str">
        <f t="shared" si="5"/>
        <v>'Distance':5.4</v>
      </c>
      <c r="H125" t="s">
        <v>121</v>
      </c>
    </row>
    <row r="126" spans="1:8" x14ac:dyDescent="0.25">
      <c r="A126" s="27">
        <v>4</v>
      </c>
      <c r="B126" s="27">
        <v>26</v>
      </c>
      <c r="C126">
        <v>5.5</v>
      </c>
      <c r="D126" t="s">
        <v>120</v>
      </c>
      <c r="E126" t="str">
        <f t="shared" si="3"/>
        <v>'AddressFrom':4</v>
      </c>
      <c r="F126" t="str">
        <f t="shared" si="4"/>
        <v>'AddressTo':26</v>
      </c>
      <c r="G126" t="str">
        <f t="shared" si="5"/>
        <v>'Distance':5.5</v>
      </c>
      <c r="H126" t="s">
        <v>121</v>
      </c>
    </row>
    <row r="127" spans="1:8" x14ac:dyDescent="0.25">
      <c r="A127" s="27">
        <v>5</v>
      </c>
      <c r="B127" s="27">
        <v>5</v>
      </c>
      <c r="C127">
        <v>0</v>
      </c>
      <c r="D127" t="s">
        <v>120</v>
      </c>
      <c r="E127" t="str">
        <f t="shared" si="3"/>
        <v>'AddressFrom':5</v>
      </c>
      <c r="F127" t="str">
        <f t="shared" si="4"/>
        <v>'AddressTo':5</v>
      </c>
      <c r="G127" t="str">
        <f t="shared" si="5"/>
        <v>'Distance':0</v>
      </c>
      <c r="H127" t="s">
        <v>121</v>
      </c>
    </row>
    <row r="128" spans="1:8" x14ac:dyDescent="0.25">
      <c r="A128" s="27">
        <v>5</v>
      </c>
      <c r="B128" s="27">
        <v>6</v>
      </c>
      <c r="C128">
        <v>6.3</v>
      </c>
      <c r="D128" t="s">
        <v>120</v>
      </c>
      <c r="E128" t="str">
        <f t="shared" si="3"/>
        <v>'AddressFrom':5</v>
      </c>
      <c r="F128" t="str">
        <f t="shared" si="4"/>
        <v>'AddressTo':6</v>
      </c>
      <c r="G128" t="str">
        <f t="shared" si="5"/>
        <v>'Distance':6.3</v>
      </c>
      <c r="H128" t="s">
        <v>121</v>
      </c>
    </row>
    <row r="129" spans="1:8" x14ac:dyDescent="0.25">
      <c r="A129" s="27">
        <v>5</v>
      </c>
      <c r="B129" s="27">
        <v>7</v>
      </c>
      <c r="C129">
        <v>4.3</v>
      </c>
      <c r="D129" t="s">
        <v>120</v>
      </c>
      <c r="E129" t="str">
        <f t="shared" si="3"/>
        <v>'AddressFrom':5</v>
      </c>
      <c r="F129" t="str">
        <f t="shared" si="4"/>
        <v>'AddressTo':7</v>
      </c>
      <c r="G129" t="str">
        <f t="shared" si="5"/>
        <v>'Distance':4.3</v>
      </c>
      <c r="H129" t="s">
        <v>121</v>
      </c>
    </row>
    <row r="130" spans="1:8" x14ac:dyDescent="0.25">
      <c r="A130" s="27">
        <v>5</v>
      </c>
      <c r="B130" s="27">
        <v>8</v>
      </c>
      <c r="C130">
        <v>4.5</v>
      </c>
      <c r="D130" t="s">
        <v>120</v>
      </c>
      <c r="E130" t="str">
        <f t="shared" si="3"/>
        <v>'AddressFrom':5</v>
      </c>
      <c r="F130" t="str">
        <f t="shared" si="4"/>
        <v>'AddressTo':8</v>
      </c>
      <c r="G130" t="str">
        <f t="shared" si="5"/>
        <v>'Distance':4.5</v>
      </c>
      <c r="H130" t="s">
        <v>121</v>
      </c>
    </row>
    <row r="131" spans="1:8" x14ac:dyDescent="0.25">
      <c r="A131" s="27">
        <v>5</v>
      </c>
      <c r="B131" s="27">
        <v>9</v>
      </c>
      <c r="C131">
        <v>1.5</v>
      </c>
      <c r="D131" t="s">
        <v>120</v>
      </c>
      <c r="E131" t="str">
        <f t="shared" ref="E131:E194" si="6">"'AddressFrom':" &amp; A131</f>
        <v>'AddressFrom':5</v>
      </c>
      <c r="F131" t="str">
        <f t="shared" ref="F131:F194" si="7">"'AddressTo':" &amp; B131</f>
        <v>'AddressTo':9</v>
      </c>
      <c r="G131" t="str">
        <f t="shared" ref="G131:G194" si="8">"'Distance':" &amp; C131</f>
        <v>'Distance':1.5</v>
      </c>
      <c r="H131" t="s">
        <v>121</v>
      </c>
    </row>
    <row r="132" spans="1:8" x14ac:dyDescent="0.25">
      <c r="A132" s="27">
        <v>5</v>
      </c>
      <c r="B132" s="27">
        <v>10</v>
      </c>
      <c r="C132">
        <v>8.6999999999999993</v>
      </c>
      <c r="D132" t="s">
        <v>120</v>
      </c>
      <c r="E132" t="str">
        <f t="shared" si="6"/>
        <v>'AddressFrom':5</v>
      </c>
      <c r="F132" t="str">
        <f t="shared" si="7"/>
        <v>'AddressTo':10</v>
      </c>
      <c r="G132" t="str">
        <f t="shared" si="8"/>
        <v>'Distance':8.7</v>
      </c>
      <c r="H132" t="s">
        <v>121</v>
      </c>
    </row>
    <row r="133" spans="1:8" x14ac:dyDescent="0.25">
      <c r="A133" s="27">
        <v>5</v>
      </c>
      <c r="B133" s="27">
        <v>11</v>
      </c>
      <c r="C133">
        <v>0.8</v>
      </c>
      <c r="D133" t="s">
        <v>120</v>
      </c>
      <c r="E133" t="str">
        <f t="shared" si="6"/>
        <v>'AddressFrom':5</v>
      </c>
      <c r="F133" t="str">
        <f t="shared" si="7"/>
        <v>'AddressTo':11</v>
      </c>
      <c r="G133" t="str">
        <f t="shared" si="8"/>
        <v>'Distance':0.8</v>
      </c>
      <c r="H133" t="s">
        <v>121</v>
      </c>
    </row>
    <row r="134" spans="1:8" x14ac:dyDescent="0.25">
      <c r="A134" s="27">
        <v>5</v>
      </c>
      <c r="B134" s="27">
        <v>12</v>
      </c>
      <c r="C134">
        <v>4.5</v>
      </c>
      <c r="D134" t="s">
        <v>120</v>
      </c>
      <c r="E134" t="str">
        <f t="shared" si="6"/>
        <v>'AddressFrom':5</v>
      </c>
      <c r="F134" t="str">
        <f t="shared" si="7"/>
        <v>'AddressTo':12</v>
      </c>
      <c r="G134" t="str">
        <f t="shared" si="8"/>
        <v>'Distance':4.5</v>
      </c>
      <c r="H134" t="s">
        <v>121</v>
      </c>
    </row>
    <row r="135" spans="1:8" x14ac:dyDescent="0.25">
      <c r="A135" s="27">
        <v>5</v>
      </c>
      <c r="B135" s="27">
        <v>13</v>
      </c>
      <c r="C135">
        <v>3.9</v>
      </c>
      <c r="D135" t="s">
        <v>120</v>
      </c>
      <c r="E135" t="str">
        <f t="shared" si="6"/>
        <v>'AddressFrom':5</v>
      </c>
      <c r="F135" t="str">
        <f t="shared" si="7"/>
        <v>'AddressTo':13</v>
      </c>
      <c r="G135" t="str">
        <f t="shared" si="8"/>
        <v>'Distance':3.9</v>
      </c>
      <c r="H135" t="s">
        <v>121</v>
      </c>
    </row>
    <row r="136" spans="1:8" x14ac:dyDescent="0.25">
      <c r="A136" s="27">
        <v>5</v>
      </c>
      <c r="B136" s="27">
        <v>14</v>
      </c>
      <c r="C136">
        <v>3</v>
      </c>
      <c r="D136" t="s">
        <v>120</v>
      </c>
      <c r="E136" t="str">
        <f t="shared" si="6"/>
        <v>'AddressFrom':5</v>
      </c>
      <c r="F136" t="str">
        <f t="shared" si="7"/>
        <v>'AddressTo':14</v>
      </c>
      <c r="G136" t="str">
        <f t="shared" si="8"/>
        <v>'Distance':3</v>
      </c>
      <c r="H136" t="s">
        <v>121</v>
      </c>
    </row>
    <row r="137" spans="1:8" x14ac:dyDescent="0.25">
      <c r="A137" s="27">
        <v>5</v>
      </c>
      <c r="B137" s="27">
        <v>15</v>
      </c>
      <c r="C137">
        <v>3.8</v>
      </c>
      <c r="D137" t="s">
        <v>120</v>
      </c>
      <c r="E137" t="str">
        <f t="shared" si="6"/>
        <v>'AddressFrom':5</v>
      </c>
      <c r="F137" t="str">
        <f t="shared" si="7"/>
        <v>'AddressTo':15</v>
      </c>
      <c r="G137" t="str">
        <f t="shared" si="8"/>
        <v>'Distance':3.8</v>
      </c>
      <c r="H137" t="s">
        <v>121</v>
      </c>
    </row>
    <row r="138" spans="1:8" x14ac:dyDescent="0.25">
      <c r="A138" s="27">
        <v>5</v>
      </c>
      <c r="B138" s="27">
        <v>16</v>
      </c>
      <c r="C138">
        <v>5.7</v>
      </c>
      <c r="D138" t="s">
        <v>120</v>
      </c>
      <c r="E138" t="str">
        <f t="shared" si="6"/>
        <v>'AddressFrom':5</v>
      </c>
      <c r="F138" t="str">
        <f t="shared" si="7"/>
        <v>'AddressTo':16</v>
      </c>
      <c r="G138" t="str">
        <f t="shared" si="8"/>
        <v>'Distance':5.7</v>
      </c>
      <c r="H138" t="s">
        <v>121</v>
      </c>
    </row>
    <row r="139" spans="1:8" x14ac:dyDescent="0.25">
      <c r="A139" s="27">
        <v>5</v>
      </c>
      <c r="B139" s="27">
        <v>17</v>
      </c>
      <c r="C139">
        <v>1.9</v>
      </c>
      <c r="D139" t="s">
        <v>120</v>
      </c>
      <c r="E139" t="str">
        <f t="shared" si="6"/>
        <v>'AddressFrom':5</v>
      </c>
      <c r="F139" t="str">
        <f t="shared" si="7"/>
        <v>'AddressTo':17</v>
      </c>
      <c r="G139" t="str">
        <f t="shared" si="8"/>
        <v>'Distance':1.9</v>
      </c>
      <c r="H139" t="s">
        <v>121</v>
      </c>
    </row>
    <row r="140" spans="1:8" x14ac:dyDescent="0.25">
      <c r="A140" s="27">
        <v>5</v>
      </c>
      <c r="B140" s="27">
        <v>18</v>
      </c>
      <c r="C140">
        <v>1.1000000000000001</v>
      </c>
      <c r="D140" t="s">
        <v>120</v>
      </c>
      <c r="E140" t="str">
        <f t="shared" si="6"/>
        <v>'AddressFrom':5</v>
      </c>
      <c r="F140" t="str">
        <f t="shared" si="7"/>
        <v>'AddressTo':18</v>
      </c>
      <c r="G140" t="str">
        <f t="shared" si="8"/>
        <v>'Distance':1.1</v>
      </c>
      <c r="H140" t="s">
        <v>121</v>
      </c>
    </row>
    <row r="141" spans="1:8" x14ac:dyDescent="0.25">
      <c r="A141" s="27">
        <v>5</v>
      </c>
      <c r="B141" s="27">
        <v>19</v>
      </c>
      <c r="C141">
        <v>3.5</v>
      </c>
      <c r="D141" t="s">
        <v>120</v>
      </c>
      <c r="E141" t="str">
        <f t="shared" si="6"/>
        <v>'AddressFrom':5</v>
      </c>
      <c r="F141" t="str">
        <f t="shared" si="7"/>
        <v>'AddressTo':19</v>
      </c>
      <c r="G141" t="str">
        <f t="shared" si="8"/>
        <v>'Distance':3.5</v>
      </c>
      <c r="H141" t="s">
        <v>121</v>
      </c>
    </row>
    <row r="142" spans="1:8" x14ac:dyDescent="0.25">
      <c r="A142" s="27">
        <v>5</v>
      </c>
      <c r="B142" s="27">
        <v>20</v>
      </c>
      <c r="C142">
        <v>4.9000000000000004</v>
      </c>
      <c r="D142" t="s">
        <v>120</v>
      </c>
      <c r="E142" t="str">
        <f t="shared" si="6"/>
        <v>'AddressFrom':5</v>
      </c>
      <c r="F142" t="str">
        <f t="shared" si="7"/>
        <v>'AddressTo':20</v>
      </c>
      <c r="G142" t="str">
        <f t="shared" si="8"/>
        <v>'Distance':4.9</v>
      </c>
      <c r="H142" t="s">
        <v>121</v>
      </c>
    </row>
    <row r="143" spans="1:8" x14ac:dyDescent="0.25">
      <c r="A143" s="27">
        <v>5</v>
      </c>
      <c r="B143" s="27">
        <v>21</v>
      </c>
      <c r="C143">
        <v>6.9</v>
      </c>
      <c r="D143" t="s">
        <v>120</v>
      </c>
      <c r="E143" t="str">
        <f t="shared" si="6"/>
        <v>'AddressFrom':5</v>
      </c>
      <c r="F143" t="str">
        <f t="shared" si="7"/>
        <v>'AddressTo':21</v>
      </c>
      <c r="G143" t="str">
        <f t="shared" si="8"/>
        <v>'Distance':6.9</v>
      </c>
      <c r="H143" t="s">
        <v>121</v>
      </c>
    </row>
    <row r="144" spans="1:8" x14ac:dyDescent="0.25">
      <c r="A144" s="27">
        <v>5</v>
      </c>
      <c r="B144" s="27">
        <v>22</v>
      </c>
      <c r="C144">
        <v>4.2</v>
      </c>
      <c r="D144" t="s">
        <v>120</v>
      </c>
      <c r="E144" t="str">
        <f t="shared" si="6"/>
        <v>'AddressFrom':5</v>
      </c>
      <c r="F144" t="str">
        <f t="shared" si="7"/>
        <v>'AddressTo':22</v>
      </c>
      <c r="G144" t="str">
        <f t="shared" si="8"/>
        <v>'Distance':4.2</v>
      </c>
      <c r="H144" t="s">
        <v>121</v>
      </c>
    </row>
    <row r="145" spans="1:8" x14ac:dyDescent="0.25">
      <c r="A145" s="27">
        <v>5</v>
      </c>
      <c r="B145" s="27">
        <v>23</v>
      </c>
      <c r="C145">
        <v>9</v>
      </c>
      <c r="D145" t="s">
        <v>120</v>
      </c>
      <c r="E145" t="str">
        <f t="shared" si="6"/>
        <v>'AddressFrom':5</v>
      </c>
      <c r="F145" t="str">
        <f t="shared" si="7"/>
        <v>'AddressTo':23</v>
      </c>
      <c r="G145" t="str">
        <f t="shared" si="8"/>
        <v>'Distance':9</v>
      </c>
      <c r="H145" t="s">
        <v>121</v>
      </c>
    </row>
    <row r="146" spans="1:8" x14ac:dyDescent="0.25">
      <c r="A146" s="27">
        <v>5</v>
      </c>
      <c r="B146" s="27">
        <v>24</v>
      </c>
      <c r="C146">
        <v>5.9</v>
      </c>
      <c r="D146" t="s">
        <v>120</v>
      </c>
      <c r="E146" t="str">
        <f t="shared" si="6"/>
        <v>'AddressFrom':5</v>
      </c>
      <c r="F146" t="str">
        <f t="shared" si="7"/>
        <v>'AddressTo':24</v>
      </c>
      <c r="G146" t="str">
        <f t="shared" si="8"/>
        <v>'Distance':5.9</v>
      </c>
      <c r="H146" t="s">
        <v>121</v>
      </c>
    </row>
    <row r="147" spans="1:8" x14ac:dyDescent="0.25">
      <c r="A147" s="27">
        <v>5</v>
      </c>
      <c r="B147" s="27">
        <v>25</v>
      </c>
      <c r="C147">
        <v>3.5</v>
      </c>
      <c r="D147" t="s">
        <v>120</v>
      </c>
      <c r="E147" t="str">
        <f t="shared" si="6"/>
        <v>'AddressFrom':5</v>
      </c>
      <c r="F147" t="str">
        <f t="shared" si="7"/>
        <v>'AddressTo':25</v>
      </c>
      <c r="G147" t="str">
        <f t="shared" si="8"/>
        <v>'Distance':3.5</v>
      </c>
      <c r="H147" t="s">
        <v>121</v>
      </c>
    </row>
    <row r="148" spans="1:8" x14ac:dyDescent="0.25">
      <c r="A148" s="27">
        <v>5</v>
      </c>
      <c r="B148" s="27">
        <v>26</v>
      </c>
      <c r="C148">
        <v>7.2</v>
      </c>
      <c r="D148" t="s">
        <v>120</v>
      </c>
      <c r="E148" t="str">
        <f t="shared" si="6"/>
        <v>'AddressFrom':5</v>
      </c>
      <c r="F148" t="str">
        <f t="shared" si="7"/>
        <v>'AddressTo':26</v>
      </c>
      <c r="G148" t="str">
        <f t="shared" si="8"/>
        <v>'Distance':7.2</v>
      </c>
      <c r="H148" t="s">
        <v>121</v>
      </c>
    </row>
    <row r="149" spans="1:8" x14ac:dyDescent="0.25">
      <c r="A149" s="27">
        <v>6</v>
      </c>
      <c r="B149" s="27">
        <v>6</v>
      </c>
      <c r="C149">
        <v>0</v>
      </c>
      <c r="D149" t="s">
        <v>120</v>
      </c>
      <c r="E149" t="str">
        <f t="shared" si="6"/>
        <v>'AddressFrom':6</v>
      </c>
      <c r="F149" t="str">
        <f t="shared" si="7"/>
        <v>'AddressTo':6</v>
      </c>
      <c r="G149" t="str">
        <f t="shared" si="8"/>
        <v>'Distance':0</v>
      </c>
      <c r="H149" t="s">
        <v>121</v>
      </c>
    </row>
    <row r="150" spans="1:8" x14ac:dyDescent="0.25">
      <c r="A150" s="27">
        <v>6</v>
      </c>
      <c r="B150" s="27">
        <v>7</v>
      </c>
      <c r="C150">
        <v>4</v>
      </c>
      <c r="D150" t="s">
        <v>120</v>
      </c>
      <c r="E150" t="str">
        <f t="shared" si="6"/>
        <v>'AddressFrom':6</v>
      </c>
      <c r="F150" t="str">
        <f t="shared" si="7"/>
        <v>'AddressTo':7</v>
      </c>
      <c r="G150" t="str">
        <f t="shared" si="8"/>
        <v>'Distance':4</v>
      </c>
      <c r="H150" t="s">
        <v>121</v>
      </c>
    </row>
    <row r="151" spans="1:8" x14ac:dyDescent="0.25">
      <c r="A151" s="27">
        <v>6</v>
      </c>
      <c r="B151" s="27">
        <v>8</v>
      </c>
      <c r="C151">
        <v>4.2</v>
      </c>
      <c r="D151" t="s">
        <v>120</v>
      </c>
      <c r="E151" t="str">
        <f t="shared" si="6"/>
        <v>'AddressFrom':6</v>
      </c>
      <c r="F151" t="str">
        <f t="shared" si="7"/>
        <v>'AddressTo':8</v>
      </c>
      <c r="G151" t="str">
        <f t="shared" si="8"/>
        <v>'Distance':4.2</v>
      </c>
      <c r="H151" t="s">
        <v>121</v>
      </c>
    </row>
    <row r="152" spans="1:8" x14ac:dyDescent="0.25">
      <c r="A152" s="27">
        <v>6</v>
      </c>
      <c r="B152" s="27">
        <v>9</v>
      </c>
      <c r="C152">
        <v>8</v>
      </c>
      <c r="D152" t="s">
        <v>120</v>
      </c>
      <c r="E152" t="str">
        <f t="shared" si="6"/>
        <v>'AddressFrom':6</v>
      </c>
      <c r="F152" t="str">
        <f t="shared" si="7"/>
        <v>'AddressTo':9</v>
      </c>
      <c r="G152" t="str">
        <f t="shared" si="8"/>
        <v>'Distance':8</v>
      </c>
      <c r="H152" t="s">
        <v>121</v>
      </c>
    </row>
    <row r="153" spans="1:8" x14ac:dyDescent="0.25">
      <c r="A153" s="27">
        <v>6</v>
      </c>
      <c r="B153" s="27">
        <v>10</v>
      </c>
      <c r="C153">
        <v>8.6</v>
      </c>
      <c r="D153" t="s">
        <v>120</v>
      </c>
      <c r="E153" t="str">
        <f t="shared" si="6"/>
        <v>'AddressFrom':6</v>
      </c>
      <c r="F153" t="str">
        <f t="shared" si="7"/>
        <v>'AddressTo':10</v>
      </c>
      <c r="G153" t="str">
        <f t="shared" si="8"/>
        <v>'Distance':8.6</v>
      </c>
      <c r="H153" t="s">
        <v>121</v>
      </c>
    </row>
    <row r="154" spans="1:8" x14ac:dyDescent="0.25">
      <c r="A154" s="27">
        <v>6</v>
      </c>
      <c r="B154" s="27">
        <v>11</v>
      </c>
      <c r="C154">
        <v>6.9</v>
      </c>
      <c r="D154" t="s">
        <v>120</v>
      </c>
      <c r="E154" t="str">
        <f t="shared" si="6"/>
        <v>'AddressFrom':6</v>
      </c>
      <c r="F154" t="str">
        <f t="shared" si="7"/>
        <v>'AddressTo':11</v>
      </c>
      <c r="G154" t="str">
        <f t="shared" si="8"/>
        <v>'Distance':6.9</v>
      </c>
      <c r="H154" t="s">
        <v>121</v>
      </c>
    </row>
    <row r="155" spans="1:8" x14ac:dyDescent="0.25">
      <c r="A155" s="27">
        <v>6</v>
      </c>
      <c r="B155" s="27">
        <v>12</v>
      </c>
      <c r="C155">
        <v>4.2</v>
      </c>
      <c r="D155" t="s">
        <v>120</v>
      </c>
      <c r="E155" t="str">
        <f t="shared" si="6"/>
        <v>'AddressFrom':6</v>
      </c>
      <c r="F155" t="str">
        <f t="shared" si="7"/>
        <v>'AddressTo':12</v>
      </c>
      <c r="G155" t="str">
        <f t="shared" si="8"/>
        <v>'Distance':4.2</v>
      </c>
      <c r="H155" t="s">
        <v>121</v>
      </c>
    </row>
    <row r="156" spans="1:8" x14ac:dyDescent="0.25">
      <c r="A156" s="27">
        <v>6</v>
      </c>
      <c r="B156" s="27">
        <v>13</v>
      </c>
      <c r="C156">
        <v>4.2</v>
      </c>
      <c r="D156" t="s">
        <v>120</v>
      </c>
      <c r="E156" t="str">
        <f t="shared" si="6"/>
        <v>'AddressFrom':6</v>
      </c>
      <c r="F156" t="str">
        <f t="shared" si="7"/>
        <v>'AddressTo':13</v>
      </c>
      <c r="G156" t="str">
        <f t="shared" si="8"/>
        <v>'Distance':4.2</v>
      </c>
      <c r="H156" t="s">
        <v>121</v>
      </c>
    </row>
    <row r="157" spans="1:8" x14ac:dyDescent="0.25">
      <c r="A157" s="27">
        <v>6</v>
      </c>
      <c r="B157" s="27">
        <v>14</v>
      </c>
      <c r="C157">
        <v>8</v>
      </c>
      <c r="D157" t="s">
        <v>120</v>
      </c>
      <c r="E157" t="str">
        <f t="shared" si="6"/>
        <v>'AddressFrom':6</v>
      </c>
      <c r="F157" t="str">
        <f t="shared" si="7"/>
        <v>'AddressTo':14</v>
      </c>
      <c r="G157" t="str">
        <f t="shared" si="8"/>
        <v>'Distance':8</v>
      </c>
      <c r="H157" t="s">
        <v>121</v>
      </c>
    </row>
    <row r="158" spans="1:8" x14ac:dyDescent="0.25">
      <c r="A158" s="27">
        <v>6</v>
      </c>
      <c r="B158" s="27">
        <v>15</v>
      </c>
      <c r="C158">
        <v>5.8</v>
      </c>
      <c r="D158" t="s">
        <v>120</v>
      </c>
      <c r="E158" t="str">
        <f t="shared" si="6"/>
        <v>'AddressFrom':6</v>
      </c>
      <c r="F158" t="str">
        <f t="shared" si="7"/>
        <v>'AddressTo':15</v>
      </c>
      <c r="G158" t="str">
        <f t="shared" si="8"/>
        <v>'Distance':5.8</v>
      </c>
      <c r="H158" t="s">
        <v>121</v>
      </c>
    </row>
    <row r="159" spans="1:8" x14ac:dyDescent="0.25">
      <c r="A159" s="27">
        <v>6</v>
      </c>
      <c r="B159" s="27">
        <v>16</v>
      </c>
      <c r="C159">
        <v>7.2</v>
      </c>
      <c r="D159" t="s">
        <v>120</v>
      </c>
      <c r="E159" t="str">
        <f t="shared" si="6"/>
        <v>'AddressFrom':6</v>
      </c>
      <c r="F159" t="str">
        <f t="shared" si="7"/>
        <v>'AddressTo':16</v>
      </c>
      <c r="G159" t="str">
        <f t="shared" si="8"/>
        <v>'Distance':7.2</v>
      </c>
      <c r="H159" t="s">
        <v>121</v>
      </c>
    </row>
    <row r="160" spans="1:8" x14ac:dyDescent="0.25">
      <c r="A160" s="27">
        <v>6</v>
      </c>
      <c r="B160" s="27">
        <v>17</v>
      </c>
      <c r="C160">
        <v>7.7</v>
      </c>
      <c r="D160" t="s">
        <v>120</v>
      </c>
      <c r="E160" t="str">
        <f t="shared" si="6"/>
        <v>'AddressFrom':6</v>
      </c>
      <c r="F160" t="str">
        <f t="shared" si="7"/>
        <v>'AddressTo':17</v>
      </c>
      <c r="G160" t="str">
        <f t="shared" si="8"/>
        <v>'Distance':7.7</v>
      </c>
      <c r="H160" t="s">
        <v>121</v>
      </c>
    </row>
    <row r="161" spans="1:8" x14ac:dyDescent="0.25">
      <c r="A161" s="27">
        <v>6</v>
      </c>
      <c r="B161" s="27">
        <v>18</v>
      </c>
      <c r="C161">
        <v>6.6</v>
      </c>
      <c r="D161" t="s">
        <v>120</v>
      </c>
      <c r="E161" t="str">
        <f t="shared" si="6"/>
        <v>'AddressFrom':6</v>
      </c>
      <c r="F161" t="str">
        <f t="shared" si="7"/>
        <v>'AddressTo':18</v>
      </c>
      <c r="G161" t="str">
        <f t="shared" si="8"/>
        <v>'Distance':6.6</v>
      </c>
      <c r="H161" t="s">
        <v>121</v>
      </c>
    </row>
    <row r="162" spans="1:8" x14ac:dyDescent="0.25">
      <c r="A162" s="27">
        <v>6</v>
      </c>
      <c r="B162" s="27">
        <v>19</v>
      </c>
      <c r="C162">
        <v>3.2</v>
      </c>
      <c r="D162" t="s">
        <v>120</v>
      </c>
      <c r="E162" t="str">
        <f t="shared" si="6"/>
        <v>'AddressFrom':6</v>
      </c>
      <c r="F162" t="str">
        <f t="shared" si="7"/>
        <v>'AddressTo':19</v>
      </c>
      <c r="G162" t="str">
        <f t="shared" si="8"/>
        <v>'Distance':3.2</v>
      </c>
      <c r="H162" t="s">
        <v>121</v>
      </c>
    </row>
    <row r="163" spans="1:8" x14ac:dyDescent="0.25">
      <c r="A163" s="27">
        <v>6</v>
      </c>
      <c r="B163" s="27">
        <v>20</v>
      </c>
      <c r="C163">
        <v>11.2</v>
      </c>
      <c r="D163" t="s">
        <v>120</v>
      </c>
      <c r="E163" t="str">
        <f t="shared" si="6"/>
        <v>'AddressFrom':6</v>
      </c>
      <c r="F163" t="str">
        <f t="shared" si="7"/>
        <v>'AddressTo':20</v>
      </c>
      <c r="G163" t="str">
        <f t="shared" si="8"/>
        <v>'Distance':11.2</v>
      </c>
      <c r="H163" t="s">
        <v>121</v>
      </c>
    </row>
    <row r="164" spans="1:8" x14ac:dyDescent="0.25">
      <c r="A164" s="27">
        <v>6</v>
      </c>
      <c r="B164" s="27">
        <v>21</v>
      </c>
      <c r="C164">
        <v>12.7</v>
      </c>
      <c r="D164" t="s">
        <v>120</v>
      </c>
      <c r="E164" t="str">
        <f t="shared" si="6"/>
        <v>'AddressFrom':6</v>
      </c>
      <c r="F164" t="str">
        <f t="shared" si="7"/>
        <v>'AddressTo':21</v>
      </c>
      <c r="G164" t="str">
        <f t="shared" si="8"/>
        <v>'Distance':12.7</v>
      </c>
      <c r="H164" t="s">
        <v>121</v>
      </c>
    </row>
    <row r="165" spans="1:8" x14ac:dyDescent="0.25">
      <c r="A165" s="27">
        <v>6</v>
      </c>
      <c r="B165" s="27">
        <v>22</v>
      </c>
      <c r="C165">
        <v>10</v>
      </c>
      <c r="D165" t="s">
        <v>120</v>
      </c>
      <c r="E165" t="str">
        <f t="shared" si="6"/>
        <v>'AddressFrom':6</v>
      </c>
      <c r="F165" t="str">
        <f t="shared" si="7"/>
        <v>'AddressTo':22</v>
      </c>
      <c r="G165" t="str">
        <f t="shared" si="8"/>
        <v>'Distance':10</v>
      </c>
      <c r="H165" t="s">
        <v>121</v>
      </c>
    </row>
    <row r="166" spans="1:8" x14ac:dyDescent="0.25">
      <c r="A166" s="27">
        <v>6</v>
      </c>
      <c r="B166" s="27">
        <v>23</v>
      </c>
      <c r="C166">
        <v>8.1999999999999993</v>
      </c>
      <c r="D166" t="s">
        <v>120</v>
      </c>
      <c r="E166" t="str">
        <f t="shared" si="6"/>
        <v>'AddressFrom':6</v>
      </c>
      <c r="F166" t="str">
        <f t="shared" si="7"/>
        <v>'AddressTo':23</v>
      </c>
      <c r="G166" t="str">
        <f t="shared" si="8"/>
        <v>'Distance':8.2</v>
      </c>
      <c r="H166" t="s">
        <v>121</v>
      </c>
    </row>
    <row r="167" spans="1:8" x14ac:dyDescent="0.25">
      <c r="A167" s="27">
        <v>6</v>
      </c>
      <c r="B167" s="27">
        <v>24</v>
      </c>
      <c r="C167">
        <v>11.7</v>
      </c>
      <c r="D167" t="s">
        <v>120</v>
      </c>
      <c r="E167" t="str">
        <f t="shared" si="6"/>
        <v>'AddressFrom':6</v>
      </c>
      <c r="F167" t="str">
        <f t="shared" si="7"/>
        <v>'AddressTo':24</v>
      </c>
      <c r="G167" t="str">
        <f t="shared" si="8"/>
        <v>'Distance':11.7</v>
      </c>
      <c r="H167" t="s">
        <v>121</v>
      </c>
    </row>
    <row r="168" spans="1:8" x14ac:dyDescent="0.25">
      <c r="A168" s="27">
        <v>6</v>
      </c>
      <c r="B168" s="27">
        <v>25</v>
      </c>
      <c r="C168">
        <v>5.0999999999999996</v>
      </c>
      <c r="D168" t="s">
        <v>120</v>
      </c>
      <c r="E168" t="str">
        <f t="shared" si="6"/>
        <v>'AddressFrom':6</v>
      </c>
      <c r="F168" t="str">
        <f t="shared" si="7"/>
        <v>'AddressTo':25</v>
      </c>
      <c r="G168" t="str">
        <f t="shared" si="8"/>
        <v>'Distance':5.1</v>
      </c>
      <c r="H168" t="s">
        <v>121</v>
      </c>
    </row>
    <row r="169" spans="1:8" x14ac:dyDescent="0.25">
      <c r="A169" s="27">
        <v>6</v>
      </c>
      <c r="B169" s="27">
        <v>26</v>
      </c>
      <c r="C169">
        <v>14.2</v>
      </c>
      <c r="D169" t="s">
        <v>120</v>
      </c>
      <c r="E169" t="str">
        <f t="shared" si="6"/>
        <v>'AddressFrom':6</v>
      </c>
      <c r="F169" t="str">
        <f t="shared" si="7"/>
        <v>'AddressTo':26</v>
      </c>
      <c r="G169" t="str">
        <f t="shared" si="8"/>
        <v>'Distance':14.2</v>
      </c>
      <c r="H169" t="s">
        <v>121</v>
      </c>
    </row>
    <row r="170" spans="1:8" x14ac:dyDescent="0.25">
      <c r="A170" s="27">
        <v>7</v>
      </c>
      <c r="B170" s="27">
        <v>7</v>
      </c>
      <c r="C170">
        <v>0</v>
      </c>
      <c r="D170" t="s">
        <v>120</v>
      </c>
      <c r="E170" t="str">
        <f t="shared" si="6"/>
        <v>'AddressFrom':7</v>
      </c>
      <c r="F170" t="str">
        <f t="shared" si="7"/>
        <v>'AddressTo':7</v>
      </c>
      <c r="G170" t="str">
        <f t="shared" si="8"/>
        <v>'Distance':0</v>
      </c>
      <c r="H170" t="s">
        <v>121</v>
      </c>
    </row>
    <row r="171" spans="1:8" x14ac:dyDescent="0.25">
      <c r="A171" s="27">
        <v>7</v>
      </c>
      <c r="B171" s="27">
        <v>8</v>
      </c>
      <c r="C171">
        <v>7.7</v>
      </c>
      <c r="D171" t="s">
        <v>120</v>
      </c>
      <c r="E171" t="str">
        <f t="shared" si="6"/>
        <v>'AddressFrom':7</v>
      </c>
      <c r="F171" t="str">
        <f t="shared" si="7"/>
        <v>'AddressTo':8</v>
      </c>
      <c r="G171" t="str">
        <f t="shared" si="8"/>
        <v>'Distance':7.7</v>
      </c>
      <c r="H171" t="s">
        <v>121</v>
      </c>
    </row>
    <row r="172" spans="1:8" x14ac:dyDescent="0.25">
      <c r="A172" s="27">
        <v>7</v>
      </c>
      <c r="B172" s="27">
        <v>9</v>
      </c>
      <c r="C172">
        <v>9.3000000000000007</v>
      </c>
      <c r="D172" t="s">
        <v>120</v>
      </c>
      <c r="E172" t="str">
        <f t="shared" si="6"/>
        <v>'AddressFrom':7</v>
      </c>
      <c r="F172" t="str">
        <f t="shared" si="7"/>
        <v>'AddressTo':9</v>
      </c>
      <c r="G172" t="str">
        <f t="shared" si="8"/>
        <v>'Distance':9.3</v>
      </c>
      <c r="H172" t="s">
        <v>121</v>
      </c>
    </row>
    <row r="173" spans="1:8" x14ac:dyDescent="0.25">
      <c r="A173" s="27">
        <v>7</v>
      </c>
      <c r="B173" s="27">
        <v>10</v>
      </c>
      <c r="C173">
        <v>4.5999999999999996</v>
      </c>
      <c r="D173" t="s">
        <v>120</v>
      </c>
      <c r="E173" t="str">
        <f t="shared" si="6"/>
        <v>'AddressFrom':7</v>
      </c>
      <c r="F173" t="str">
        <f t="shared" si="7"/>
        <v>'AddressTo':10</v>
      </c>
      <c r="G173" t="str">
        <f t="shared" si="8"/>
        <v>'Distance':4.6</v>
      </c>
      <c r="H173" t="s">
        <v>121</v>
      </c>
    </row>
    <row r="174" spans="1:8" x14ac:dyDescent="0.25">
      <c r="A174" s="27">
        <v>7</v>
      </c>
      <c r="B174" s="27">
        <v>11</v>
      </c>
      <c r="C174">
        <v>4.8</v>
      </c>
      <c r="D174" t="s">
        <v>120</v>
      </c>
      <c r="E174" t="str">
        <f t="shared" si="6"/>
        <v>'AddressFrom':7</v>
      </c>
      <c r="F174" t="str">
        <f t="shared" si="7"/>
        <v>'AddressTo':11</v>
      </c>
      <c r="G174" t="str">
        <f t="shared" si="8"/>
        <v>'Distance':4.8</v>
      </c>
      <c r="H174" t="s">
        <v>121</v>
      </c>
    </row>
    <row r="175" spans="1:8" x14ac:dyDescent="0.25">
      <c r="A175" s="27">
        <v>7</v>
      </c>
      <c r="B175" s="27">
        <v>12</v>
      </c>
      <c r="C175">
        <v>7.7</v>
      </c>
      <c r="D175" t="s">
        <v>120</v>
      </c>
      <c r="E175" t="str">
        <f t="shared" si="6"/>
        <v>'AddressFrom':7</v>
      </c>
      <c r="F175" t="str">
        <f t="shared" si="7"/>
        <v>'AddressTo':12</v>
      </c>
      <c r="G175" t="str">
        <f t="shared" si="8"/>
        <v>'Distance':7.7</v>
      </c>
      <c r="H175" t="s">
        <v>121</v>
      </c>
    </row>
    <row r="176" spans="1:8" x14ac:dyDescent="0.25">
      <c r="A176" s="27">
        <v>7</v>
      </c>
      <c r="B176" s="27">
        <v>13</v>
      </c>
      <c r="C176">
        <v>1.6</v>
      </c>
      <c r="D176" t="s">
        <v>120</v>
      </c>
      <c r="E176" t="str">
        <f t="shared" si="6"/>
        <v>'AddressFrom':7</v>
      </c>
      <c r="F176" t="str">
        <f t="shared" si="7"/>
        <v>'AddressTo':13</v>
      </c>
      <c r="G176" t="str">
        <f t="shared" si="8"/>
        <v>'Distance':1.6</v>
      </c>
      <c r="H176" t="s">
        <v>121</v>
      </c>
    </row>
    <row r="177" spans="1:8" x14ac:dyDescent="0.25">
      <c r="A177" s="27">
        <v>7</v>
      </c>
      <c r="B177" s="27">
        <v>14</v>
      </c>
      <c r="C177">
        <v>3.3</v>
      </c>
      <c r="D177" t="s">
        <v>120</v>
      </c>
      <c r="E177" t="str">
        <f t="shared" si="6"/>
        <v>'AddressFrom':7</v>
      </c>
      <c r="F177" t="str">
        <f t="shared" si="7"/>
        <v>'AddressTo':14</v>
      </c>
      <c r="G177" t="str">
        <f t="shared" si="8"/>
        <v>'Distance':3.3</v>
      </c>
      <c r="H177" t="s">
        <v>121</v>
      </c>
    </row>
    <row r="178" spans="1:8" x14ac:dyDescent="0.25">
      <c r="A178" s="27">
        <v>7</v>
      </c>
      <c r="B178" s="27">
        <v>15</v>
      </c>
      <c r="C178">
        <v>3.4</v>
      </c>
      <c r="D178" t="s">
        <v>120</v>
      </c>
      <c r="E178" t="str">
        <f t="shared" si="6"/>
        <v>'AddressFrom':7</v>
      </c>
      <c r="F178" t="str">
        <f t="shared" si="7"/>
        <v>'AddressTo':15</v>
      </c>
      <c r="G178" t="str">
        <f t="shared" si="8"/>
        <v>'Distance':3.4</v>
      </c>
      <c r="H178" t="s">
        <v>121</v>
      </c>
    </row>
    <row r="179" spans="1:8" x14ac:dyDescent="0.25">
      <c r="A179" s="27">
        <v>7</v>
      </c>
      <c r="B179" s="27">
        <v>16</v>
      </c>
      <c r="C179">
        <v>3.1</v>
      </c>
      <c r="D179" t="s">
        <v>120</v>
      </c>
      <c r="E179" t="str">
        <f t="shared" si="6"/>
        <v>'AddressFrom':7</v>
      </c>
      <c r="F179" t="str">
        <f t="shared" si="7"/>
        <v>'AddressTo':16</v>
      </c>
      <c r="G179" t="str">
        <f t="shared" si="8"/>
        <v>'Distance':3.1</v>
      </c>
      <c r="H179" t="s">
        <v>121</v>
      </c>
    </row>
    <row r="180" spans="1:8" x14ac:dyDescent="0.25">
      <c r="A180" s="27">
        <v>7</v>
      </c>
      <c r="B180" s="27">
        <v>17</v>
      </c>
      <c r="C180">
        <v>5.0999999999999996</v>
      </c>
      <c r="D180" t="s">
        <v>120</v>
      </c>
      <c r="E180" t="str">
        <f t="shared" si="6"/>
        <v>'AddressFrom':7</v>
      </c>
      <c r="F180" t="str">
        <f t="shared" si="7"/>
        <v>'AddressTo':17</v>
      </c>
      <c r="G180" t="str">
        <f t="shared" si="8"/>
        <v>'Distance':5.1</v>
      </c>
      <c r="H180" t="s">
        <v>121</v>
      </c>
    </row>
    <row r="181" spans="1:8" x14ac:dyDescent="0.25">
      <c r="A181" s="27">
        <v>7</v>
      </c>
      <c r="B181" s="27">
        <v>18</v>
      </c>
      <c r="C181">
        <v>4.5999999999999996</v>
      </c>
      <c r="D181" t="s">
        <v>120</v>
      </c>
      <c r="E181" t="str">
        <f t="shared" si="6"/>
        <v>'AddressFrom':7</v>
      </c>
      <c r="F181" t="str">
        <f t="shared" si="7"/>
        <v>'AddressTo':18</v>
      </c>
      <c r="G181" t="str">
        <f t="shared" si="8"/>
        <v>'Distance':4.6</v>
      </c>
      <c r="H181" t="s">
        <v>121</v>
      </c>
    </row>
    <row r="182" spans="1:8" x14ac:dyDescent="0.25">
      <c r="A182" s="27">
        <v>7</v>
      </c>
      <c r="B182" s="27">
        <v>19</v>
      </c>
      <c r="C182">
        <v>6.7</v>
      </c>
      <c r="D182" t="s">
        <v>120</v>
      </c>
      <c r="E182" t="str">
        <f t="shared" si="6"/>
        <v>'AddressFrom':7</v>
      </c>
      <c r="F182" t="str">
        <f t="shared" si="7"/>
        <v>'AddressTo':19</v>
      </c>
      <c r="G182" t="str">
        <f t="shared" si="8"/>
        <v>'Distance':6.7</v>
      </c>
      <c r="H182" t="s">
        <v>121</v>
      </c>
    </row>
    <row r="183" spans="1:8" x14ac:dyDescent="0.25">
      <c r="A183" s="27">
        <v>7</v>
      </c>
      <c r="B183" s="27">
        <v>20</v>
      </c>
      <c r="C183">
        <v>8.1</v>
      </c>
      <c r="D183" t="s">
        <v>120</v>
      </c>
      <c r="E183" t="str">
        <f t="shared" si="6"/>
        <v>'AddressFrom':7</v>
      </c>
      <c r="F183" t="str">
        <f t="shared" si="7"/>
        <v>'AddressTo':20</v>
      </c>
      <c r="G183" t="str">
        <f t="shared" si="8"/>
        <v>'Distance':8.1</v>
      </c>
      <c r="H183" t="s">
        <v>121</v>
      </c>
    </row>
    <row r="184" spans="1:8" x14ac:dyDescent="0.25">
      <c r="A184" s="27">
        <v>7</v>
      </c>
      <c r="B184" s="27">
        <v>21</v>
      </c>
      <c r="C184">
        <v>10.4</v>
      </c>
      <c r="D184" t="s">
        <v>120</v>
      </c>
      <c r="E184" t="str">
        <f t="shared" si="6"/>
        <v>'AddressFrom':7</v>
      </c>
      <c r="F184" t="str">
        <f t="shared" si="7"/>
        <v>'AddressTo':21</v>
      </c>
      <c r="G184" t="str">
        <f t="shared" si="8"/>
        <v>'Distance':10.4</v>
      </c>
      <c r="H184" t="s">
        <v>121</v>
      </c>
    </row>
    <row r="185" spans="1:8" x14ac:dyDescent="0.25">
      <c r="A185" s="27">
        <v>7</v>
      </c>
      <c r="B185" s="27">
        <v>22</v>
      </c>
      <c r="C185">
        <v>7.8</v>
      </c>
      <c r="D185" t="s">
        <v>120</v>
      </c>
      <c r="E185" t="str">
        <f t="shared" si="6"/>
        <v>'AddressFrom':7</v>
      </c>
      <c r="F185" t="str">
        <f t="shared" si="7"/>
        <v>'AddressTo':22</v>
      </c>
      <c r="G185" t="str">
        <f t="shared" si="8"/>
        <v>'Distance':7.8</v>
      </c>
      <c r="H185" t="s">
        <v>121</v>
      </c>
    </row>
    <row r="186" spans="1:8" x14ac:dyDescent="0.25">
      <c r="A186" s="27">
        <v>7</v>
      </c>
      <c r="B186" s="27">
        <v>23</v>
      </c>
      <c r="C186">
        <v>4.2</v>
      </c>
      <c r="D186" t="s">
        <v>120</v>
      </c>
      <c r="E186" t="str">
        <f t="shared" si="6"/>
        <v>'AddressFrom':7</v>
      </c>
      <c r="F186" t="str">
        <f t="shared" si="7"/>
        <v>'AddressTo':23</v>
      </c>
      <c r="G186" t="str">
        <f t="shared" si="8"/>
        <v>'Distance':4.2</v>
      </c>
      <c r="H186" t="s">
        <v>121</v>
      </c>
    </row>
    <row r="187" spans="1:8" x14ac:dyDescent="0.25">
      <c r="A187" s="27">
        <v>7</v>
      </c>
      <c r="B187" s="27">
        <v>24</v>
      </c>
      <c r="C187">
        <v>9.5</v>
      </c>
      <c r="D187" t="s">
        <v>120</v>
      </c>
      <c r="E187" t="str">
        <f t="shared" si="6"/>
        <v>'AddressFrom':7</v>
      </c>
      <c r="F187" t="str">
        <f t="shared" si="7"/>
        <v>'AddressTo':24</v>
      </c>
      <c r="G187" t="str">
        <f t="shared" si="8"/>
        <v>'Distance':9.5</v>
      </c>
      <c r="H187" t="s">
        <v>121</v>
      </c>
    </row>
    <row r="188" spans="1:8" x14ac:dyDescent="0.25">
      <c r="A188" s="27">
        <v>7</v>
      </c>
      <c r="B188" s="27">
        <v>25</v>
      </c>
      <c r="C188">
        <v>6.2</v>
      </c>
      <c r="D188" t="s">
        <v>120</v>
      </c>
      <c r="E188" t="str">
        <f t="shared" si="6"/>
        <v>'AddressFrom':7</v>
      </c>
      <c r="F188" t="str">
        <f t="shared" si="7"/>
        <v>'AddressTo':25</v>
      </c>
      <c r="G188" t="str">
        <f t="shared" si="8"/>
        <v>'Distance':6.2</v>
      </c>
      <c r="H188" t="s">
        <v>121</v>
      </c>
    </row>
    <row r="189" spans="1:8" x14ac:dyDescent="0.25">
      <c r="A189" s="27">
        <v>7</v>
      </c>
      <c r="B189" s="27">
        <v>26</v>
      </c>
      <c r="C189">
        <v>10.7</v>
      </c>
      <c r="D189" t="s">
        <v>120</v>
      </c>
      <c r="E189" t="str">
        <f t="shared" si="6"/>
        <v>'AddressFrom':7</v>
      </c>
      <c r="F189" t="str">
        <f t="shared" si="7"/>
        <v>'AddressTo':26</v>
      </c>
      <c r="G189" t="str">
        <f t="shared" si="8"/>
        <v>'Distance':10.7</v>
      </c>
      <c r="H189" t="s">
        <v>121</v>
      </c>
    </row>
    <row r="190" spans="1:8" x14ac:dyDescent="0.25">
      <c r="A190" s="27">
        <v>8</v>
      </c>
      <c r="B190" s="27">
        <v>8</v>
      </c>
      <c r="C190">
        <v>0</v>
      </c>
      <c r="D190" t="s">
        <v>120</v>
      </c>
      <c r="E190" t="str">
        <f t="shared" si="6"/>
        <v>'AddressFrom':8</v>
      </c>
      <c r="F190" t="str">
        <f t="shared" si="7"/>
        <v>'AddressTo':8</v>
      </c>
      <c r="G190" t="str">
        <f t="shared" si="8"/>
        <v>'Distance':0</v>
      </c>
      <c r="H190" t="s">
        <v>121</v>
      </c>
    </row>
    <row r="191" spans="1:8" x14ac:dyDescent="0.25">
      <c r="A191" s="27">
        <v>8</v>
      </c>
      <c r="B191" s="27">
        <v>9</v>
      </c>
      <c r="C191">
        <v>4.8</v>
      </c>
      <c r="D191" t="s">
        <v>120</v>
      </c>
      <c r="E191" t="str">
        <f t="shared" si="6"/>
        <v>'AddressFrom':8</v>
      </c>
      <c r="F191" t="str">
        <f t="shared" si="7"/>
        <v>'AddressTo':9</v>
      </c>
      <c r="G191" t="str">
        <f t="shared" si="8"/>
        <v>'Distance':4.8</v>
      </c>
      <c r="H191" t="s">
        <v>121</v>
      </c>
    </row>
    <row r="192" spans="1:8" x14ac:dyDescent="0.25">
      <c r="A192" s="27">
        <v>8</v>
      </c>
      <c r="B192" s="27">
        <v>10</v>
      </c>
      <c r="C192">
        <v>11.9</v>
      </c>
      <c r="D192" t="s">
        <v>120</v>
      </c>
      <c r="E192" t="str">
        <f t="shared" si="6"/>
        <v>'AddressFrom':8</v>
      </c>
      <c r="F192" t="str">
        <f t="shared" si="7"/>
        <v>'AddressTo':10</v>
      </c>
      <c r="G192" t="str">
        <f t="shared" si="8"/>
        <v>'Distance':11.9</v>
      </c>
      <c r="H192" t="s">
        <v>121</v>
      </c>
    </row>
    <row r="193" spans="1:8" x14ac:dyDescent="0.25">
      <c r="A193" s="27">
        <v>8</v>
      </c>
      <c r="B193" s="27">
        <v>11</v>
      </c>
      <c r="C193">
        <v>4.7</v>
      </c>
      <c r="D193" t="s">
        <v>120</v>
      </c>
      <c r="E193" t="str">
        <f t="shared" si="6"/>
        <v>'AddressFrom':8</v>
      </c>
      <c r="F193" t="str">
        <f t="shared" si="7"/>
        <v>'AddressTo':11</v>
      </c>
      <c r="G193" t="str">
        <f t="shared" si="8"/>
        <v>'Distance':4.7</v>
      </c>
      <c r="H193" t="s">
        <v>121</v>
      </c>
    </row>
    <row r="194" spans="1:8" x14ac:dyDescent="0.25">
      <c r="A194" s="27">
        <v>8</v>
      </c>
      <c r="B194" s="27">
        <v>12</v>
      </c>
      <c r="C194">
        <v>0.6</v>
      </c>
      <c r="D194" t="s">
        <v>120</v>
      </c>
      <c r="E194" t="str">
        <f t="shared" si="6"/>
        <v>'AddressFrom':8</v>
      </c>
      <c r="F194" t="str">
        <f t="shared" si="7"/>
        <v>'AddressTo':12</v>
      </c>
      <c r="G194" t="str">
        <f t="shared" si="8"/>
        <v>'Distance':0.6</v>
      </c>
      <c r="H194" t="s">
        <v>121</v>
      </c>
    </row>
    <row r="195" spans="1:8" x14ac:dyDescent="0.25">
      <c r="A195" s="27">
        <v>8</v>
      </c>
      <c r="B195" s="27">
        <v>13</v>
      </c>
      <c r="C195">
        <v>7.6</v>
      </c>
      <c r="D195" t="s">
        <v>120</v>
      </c>
      <c r="E195" t="str">
        <f t="shared" ref="E195:E258" si="9">"'AddressFrom':" &amp; A195</f>
        <v>'AddressFrom':8</v>
      </c>
      <c r="F195" t="str">
        <f t="shared" ref="F195:F258" si="10">"'AddressTo':" &amp; B195</f>
        <v>'AddressTo':13</v>
      </c>
      <c r="G195" t="str">
        <f t="shared" ref="G195:G258" si="11">"'Distance':" &amp; C195</f>
        <v>'Distance':7.6</v>
      </c>
      <c r="H195" t="s">
        <v>121</v>
      </c>
    </row>
    <row r="196" spans="1:8" x14ac:dyDescent="0.25">
      <c r="A196" s="27">
        <v>8</v>
      </c>
      <c r="B196" s="27">
        <v>14</v>
      </c>
      <c r="C196">
        <v>7.8</v>
      </c>
      <c r="D196" t="s">
        <v>120</v>
      </c>
      <c r="E196" t="str">
        <f t="shared" si="9"/>
        <v>'AddressFrom':8</v>
      </c>
      <c r="F196" t="str">
        <f t="shared" si="10"/>
        <v>'AddressTo':14</v>
      </c>
      <c r="G196" t="str">
        <f t="shared" si="11"/>
        <v>'Distance':7.8</v>
      </c>
      <c r="H196" t="s">
        <v>121</v>
      </c>
    </row>
    <row r="197" spans="1:8" x14ac:dyDescent="0.25">
      <c r="A197" s="27">
        <v>8</v>
      </c>
      <c r="B197" s="27">
        <v>15</v>
      </c>
      <c r="C197">
        <v>6.6</v>
      </c>
      <c r="D197" t="s">
        <v>120</v>
      </c>
      <c r="E197" t="str">
        <f t="shared" si="9"/>
        <v>'AddressFrom':8</v>
      </c>
      <c r="F197" t="str">
        <f t="shared" si="10"/>
        <v>'AddressTo':15</v>
      </c>
      <c r="G197" t="str">
        <f t="shared" si="11"/>
        <v>'Distance':6.6</v>
      </c>
      <c r="H197" t="s">
        <v>121</v>
      </c>
    </row>
    <row r="198" spans="1:8" x14ac:dyDescent="0.25">
      <c r="A198" s="27">
        <v>8</v>
      </c>
      <c r="B198" s="27">
        <v>16</v>
      </c>
      <c r="C198">
        <v>7.2</v>
      </c>
      <c r="D198" t="s">
        <v>120</v>
      </c>
      <c r="E198" t="str">
        <f t="shared" si="9"/>
        <v>'AddressFrom':8</v>
      </c>
      <c r="F198" t="str">
        <f t="shared" si="10"/>
        <v>'AddressTo':16</v>
      </c>
      <c r="G198" t="str">
        <f t="shared" si="11"/>
        <v>'Distance':7.2</v>
      </c>
      <c r="H198" t="s">
        <v>121</v>
      </c>
    </row>
    <row r="199" spans="1:8" x14ac:dyDescent="0.25">
      <c r="A199" s="27">
        <v>8</v>
      </c>
      <c r="B199" s="27">
        <v>17</v>
      </c>
      <c r="C199">
        <v>5.9</v>
      </c>
      <c r="D199" t="s">
        <v>120</v>
      </c>
      <c r="E199" t="str">
        <f t="shared" si="9"/>
        <v>'AddressFrom':8</v>
      </c>
      <c r="F199" t="str">
        <f t="shared" si="10"/>
        <v>'AddressTo':17</v>
      </c>
      <c r="G199" t="str">
        <f t="shared" si="11"/>
        <v>'Distance':5.9</v>
      </c>
      <c r="H199" t="s">
        <v>121</v>
      </c>
    </row>
    <row r="200" spans="1:8" x14ac:dyDescent="0.25">
      <c r="A200" s="27">
        <v>8</v>
      </c>
      <c r="B200" s="27">
        <v>18</v>
      </c>
      <c r="C200">
        <v>5.4</v>
      </c>
      <c r="D200" t="s">
        <v>120</v>
      </c>
      <c r="E200" t="str">
        <f t="shared" si="9"/>
        <v>'AddressFrom':8</v>
      </c>
      <c r="F200" t="str">
        <f t="shared" si="10"/>
        <v>'AddressTo':18</v>
      </c>
      <c r="G200" t="str">
        <f t="shared" si="11"/>
        <v>'Distance':5.4</v>
      </c>
      <c r="H200" t="s">
        <v>121</v>
      </c>
    </row>
    <row r="201" spans="1:8" x14ac:dyDescent="0.25">
      <c r="A201" s="27">
        <v>8</v>
      </c>
      <c r="B201" s="27">
        <v>19</v>
      </c>
      <c r="C201">
        <v>1</v>
      </c>
      <c r="D201" t="s">
        <v>120</v>
      </c>
      <c r="E201" t="str">
        <f t="shared" si="9"/>
        <v>'AddressFrom':8</v>
      </c>
      <c r="F201" t="str">
        <f t="shared" si="10"/>
        <v>'AddressTo':19</v>
      </c>
      <c r="G201" t="str">
        <f t="shared" si="11"/>
        <v>'Distance':1</v>
      </c>
      <c r="H201" t="s">
        <v>121</v>
      </c>
    </row>
    <row r="202" spans="1:8" x14ac:dyDescent="0.25">
      <c r="A202" s="27">
        <v>8</v>
      </c>
      <c r="B202" s="27">
        <v>20</v>
      </c>
      <c r="C202">
        <v>8.5</v>
      </c>
      <c r="D202" t="s">
        <v>120</v>
      </c>
      <c r="E202" t="str">
        <f t="shared" si="9"/>
        <v>'AddressFrom':8</v>
      </c>
      <c r="F202" t="str">
        <f t="shared" si="10"/>
        <v>'AddressTo':20</v>
      </c>
      <c r="G202" t="str">
        <f t="shared" si="11"/>
        <v>'Distance':8.5</v>
      </c>
      <c r="H202" t="s">
        <v>121</v>
      </c>
    </row>
    <row r="203" spans="1:8" x14ac:dyDescent="0.25">
      <c r="A203" s="27">
        <v>8</v>
      </c>
      <c r="B203" s="27">
        <v>21</v>
      </c>
      <c r="C203">
        <v>10.3</v>
      </c>
      <c r="D203" t="s">
        <v>120</v>
      </c>
      <c r="E203" t="str">
        <f t="shared" si="9"/>
        <v>'AddressFrom':8</v>
      </c>
      <c r="F203" t="str">
        <f t="shared" si="10"/>
        <v>'AddressTo':21</v>
      </c>
      <c r="G203" t="str">
        <f t="shared" si="11"/>
        <v>'Distance':10.3</v>
      </c>
      <c r="H203" t="s">
        <v>121</v>
      </c>
    </row>
    <row r="204" spans="1:8" x14ac:dyDescent="0.25">
      <c r="A204" s="27">
        <v>8</v>
      </c>
      <c r="B204" s="27">
        <v>22</v>
      </c>
      <c r="C204">
        <v>7.8</v>
      </c>
      <c r="D204" t="s">
        <v>120</v>
      </c>
      <c r="E204" t="str">
        <f t="shared" si="9"/>
        <v>'AddressFrom':8</v>
      </c>
      <c r="F204" t="str">
        <f t="shared" si="10"/>
        <v>'AddressTo':22</v>
      </c>
      <c r="G204" t="str">
        <f t="shared" si="11"/>
        <v>'Distance':7.8</v>
      </c>
      <c r="H204" t="s">
        <v>121</v>
      </c>
    </row>
    <row r="205" spans="1:8" x14ac:dyDescent="0.25">
      <c r="A205" s="27">
        <v>8</v>
      </c>
      <c r="B205" s="27">
        <v>23</v>
      </c>
      <c r="C205">
        <v>11.5</v>
      </c>
      <c r="D205" t="s">
        <v>120</v>
      </c>
      <c r="E205" t="str">
        <f t="shared" si="9"/>
        <v>'AddressFrom':8</v>
      </c>
      <c r="F205" t="str">
        <f t="shared" si="10"/>
        <v>'AddressTo':23</v>
      </c>
      <c r="G205" t="str">
        <f t="shared" si="11"/>
        <v>'Distance':11.5</v>
      </c>
      <c r="H205" t="s">
        <v>121</v>
      </c>
    </row>
    <row r="206" spans="1:8" x14ac:dyDescent="0.25">
      <c r="A206" s="27">
        <v>8</v>
      </c>
      <c r="B206" s="27">
        <v>24</v>
      </c>
      <c r="C206">
        <v>9.5</v>
      </c>
      <c r="D206" t="s">
        <v>120</v>
      </c>
      <c r="E206" t="str">
        <f t="shared" si="9"/>
        <v>'AddressFrom':8</v>
      </c>
      <c r="F206" t="str">
        <f t="shared" si="10"/>
        <v>'AddressTo':24</v>
      </c>
      <c r="G206" t="str">
        <f t="shared" si="11"/>
        <v>'Distance':9.5</v>
      </c>
      <c r="H206" t="s">
        <v>121</v>
      </c>
    </row>
    <row r="207" spans="1:8" x14ac:dyDescent="0.25">
      <c r="A207" s="27">
        <v>8</v>
      </c>
      <c r="B207" s="27">
        <v>25</v>
      </c>
      <c r="C207">
        <v>2.8</v>
      </c>
      <c r="D207" t="s">
        <v>120</v>
      </c>
      <c r="E207" t="str">
        <f t="shared" si="9"/>
        <v>'AddressFrom':8</v>
      </c>
      <c r="F207" t="str">
        <f t="shared" si="10"/>
        <v>'AddressTo':25</v>
      </c>
      <c r="G207" t="str">
        <f t="shared" si="11"/>
        <v>'Distance':2.8</v>
      </c>
      <c r="H207" t="s">
        <v>121</v>
      </c>
    </row>
    <row r="208" spans="1:8" x14ac:dyDescent="0.25">
      <c r="A208" s="27">
        <v>8</v>
      </c>
      <c r="B208" s="27">
        <v>26</v>
      </c>
      <c r="C208">
        <v>14.1</v>
      </c>
      <c r="D208" t="s">
        <v>120</v>
      </c>
      <c r="E208" t="str">
        <f t="shared" si="9"/>
        <v>'AddressFrom':8</v>
      </c>
      <c r="F208" t="str">
        <f t="shared" si="10"/>
        <v>'AddressTo':26</v>
      </c>
      <c r="G208" t="str">
        <f t="shared" si="11"/>
        <v>'Distance':14.1</v>
      </c>
      <c r="H208" t="s">
        <v>121</v>
      </c>
    </row>
    <row r="209" spans="1:8" x14ac:dyDescent="0.25">
      <c r="A209" s="27">
        <v>9</v>
      </c>
      <c r="B209" s="27">
        <v>9</v>
      </c>
      <c r="C209">
        <v>0</v>
      </c>
      <c r="D209" t="s">
        <v>120</v>
      </c>
      <c r="E209" t="str">
        <f t="shared" si="9"/>
        <v>'AddressFrom':9</v>
      </c>
      <c r="F209" t="str">
        <f t="shared" si="10"/>
        <v>'AddressTo':9</v>
      </c>
      <c r="G209" t="str">
        <f t="shared" si="11"/>
        <v>'Distance':0</v>
      </c>
      <c r="H209" t="s">
        <v>121</v>
      </c>
    </row>
    <row r="210" spans="1:8" x14ac:dyDescent="0.25">
      <c r="A210" s="27">
        <v>9</v>
      </c>
      <c r="B210" s="27">
        <v>10</v>
      </c>
      <c r="C210">
        <v>9.4</v>
      </c>
      <c r="D210" t="s">
        <v>120</v>
      </c>
      <c r="E210" t="str">
        <f t="shared" si="9"/>
        <v>'AddressFrom':9</v>
      </c>
      <c r="F210" t="str">
        <f t="shared" si="10"/>
        <v>'AddressTo':10</v>
      </c>
      <c r="G210" t="str">
        <f t="shared" si="11"/>
        <v>'Distance':9.4</v>
      </c>
      <c r="H210" t="s">
        <v>121</v>
      </c>
    </row>
    <row r="211" spans="1:8" x14ac:dyDescent="0.25">
      <c r="A211" s="27">
        <v>9</v>
      </c>
      <c r="B211" s="27">
        <v>11</v>
      </c>
      <c r="C211">
        <v>1.1000000000000001</v>
      </c>
      <c r="D211" t="s">
        <v>120</v>
      </c>
      <c r="E211" t="str">
        <f t="shared" si="9"/>
        <v>'AddressFrom':9</v>
      </c>
      <c r="F211" t="str">
        <f t="shared" si="10"/>
        <v>'AddressTo':11</v>
      </c>
      <c r="G211" t="str">
        <f t="shared" si="11"/>
        <v>'Distance':1.1</v>
      </c>
      <c r="H211" t="s">
        <v>121</v>
      </c>
    </row>
    <row r="212" spans="1:8" x14ac:dyDescent="0.25">
      <c r="A212" s="27">
        <v>9</v>
      </c>
      <c r="B212" s="27">
        <v>12</v>
      </c>
      <c r="C212">
        <v>5.0999999999999996</v>
      </c>
      <c r="D212" t="s">
        <v>120</v>
      </c>
      <c r="E212" t="str">
        <f t="shared" si="9"/>
        <v>'AddressFrom':9</v>
      </c>
      <c r="F212" t="str">
        <f t="shared" si="10"/>
        <v>'AddressTo':12</v>
      </c>
      <c r="G212" t="str">
        <f t="shared" si="11"/>
        <v>'Distance':5.1</v>
      </c>
      <c r="H212" t="s">
        <v>121</v>
      </c>
    </row>
    <row r="213" spans="1:8" x14ac:dyDescent="0.25">
      <c r="A213" s="27">
        <v>9</v>
      </c>
      <c r="B213" s="27">
        <v>13</v>
      </c>
      <c r="C213">
        <v>4.5999999999999996</v>
      </c>
      <c r="D213" t="s">
        <v>120</v>
      </c>
      <c r="E213" t="str">
        <f t="shared" si="9"/>
        <v>'AddressFrom':9</v>
      </c>
      <c r="F213" t="str">
        <f t="shared" si="10"/>
        <v>'AddressTo':13</v>
      </c>
      <c r="G213" t="str">
        <f t="shared" si="11"/>
        <v>'Distance':4.6</v>
      </c>
      <c r="H213" t="s">
        <v>121</v>
      </c>
    </row>
    <row r="214" spans="1:8" x14ac:dyDescent="0.25">
      <c r="A214" s="27">
        <v>9</v>
      </c>
      <c r="B214" s="27">
        <v>14</v>
      </c>
      <c r="C214">
        <v>3.7</v>
      </c>
      <c r="D214" t="s">
        <v>120</v>
      </c>
      <c r="E214" t="str">
        <f t="shared" si="9"/>
        <v>'AddressFrom':9</v>
      </c>
      <c r="F214" t="str">
        <f t="shared" si="10"/>
        <v>'AddressTo':14</v>
      </c>
      <c r="G214" t="str">
        <f t="shared" si="11"/>
        <v>'Distance':3.7</v>
      </c>
      <c r="H214" t="s">
        <v>121</v>
      </c>
    </row>
    <row r="215" spans="1:8" x14ac:dyDescent="0.25">
      <c r="A215" s="27">
        <v>9</v>
      </c>
      <c r="B215" s="27">
        <v>15</v>
      </c>
      <c r="C215">
        <v>4</v>
      </c>
      <c r="D215" t="s">
        <v>120</v>
      </c>
      <c r="E215" t="str">
        <f t="shared" si="9"/>
        <v>'AddressFrom':9</v>
      </c>
      <c r="F215" t="str">
        <f t="shared" si="10"/>
        <v>'AddressTo':15</v>
      </c>
      <c r="G215" t="str">
        <f t="shared" si="11"/>
        <v>'Distance':4</v>
      </c>
      <c r="H215" t="s">
        <v>121</v>
      </c>
    </row>
    <row r="216" spans="1:8" x14ac:dyDescent="0.25">
      <c r="A216" s="27">
        <v>9</v>
      </c>
      <c r="B216" s="27">
        <v>16</v>
      </c>
      <c r="C216">
        <v>6.7</v>
      </c>
      <c r="D216" t="s">
        <v>120</v>
      </c>
      <c r="E216" t="str">
        <f t="shared" si="9"/>
        <v>'AddressFrom':9</v>
      </c>
      <c r="F216" t="str">
        <f t="shared" si="10"/>
        <v>'AddressTo':16</v>
      </c>
      <c r="G216" t="str">
        <f t="shared" si="11"/>
        <v>'Distance':6.7</v>
      </c>
      <c r="H216" t="s">
        <v>121</v>
      </c>
    </row>
    <row r="217" spans="1:8" x14ac:dyDescent="0.25">
      <c r="A217" s="27">
        <v>9</v>
      </c>
      <c r="B217" s="27">
        <v>17</v>
      </c>
      <c r="C217">
        <v>2.2999999999999998</v>
      </c>
      <c r="D217" t="s">
        <v>120</v>
      </c>
      <c r="E217" t="str">
        <f t="shared" si="9"/>
        <v>'AddressFrom':9</v>
      </c>
      <c r="F217" t="str">
        <f t="shared" si="10"/>
        <v>'AddressTo':17</v>
      </c>
      <c r="G217" t="str">
        <f t="shared" si="11"/>
        <v>'Distance':2.3</v>
      </c>
      <c r="H217" t="s">
        <v>121</v>
      </c>
    </row>
    <row r="218" spans="1:8" x14ac:dyDescent="0.25">
      <c r="A218" s="27">
        <v>9</v>
      </c>
      <c r="B218" s="27">
        <v>18</v>
      </c>
      <c r="C218">
        <v>1.8</v>
      </c>
      <c r="D218" t="s">
        <v>120</v>
      </c>
      <c r="E218" t="str">
        <f t="shared" si="9"/>
        <v>'AddressFrom':9</v>
      </c>
      <c r="F218" t="str">
        <f t="shared" si="10"/>
        <v>'AddressTo':18</v>
      </c>
      <c r="G218" t="str">
        <f t="shared" si="11"/>
        <v>'Distance':1.8</v>
      </c>
      <c r="H218" t="s">
        <v>121</v>
      </c>
    </row>
    <row r="219" spans="1:8" x14ac:dyDescent="0.25">
      <c r="A219" s="27">
        <v>9</v>
      </c>
      <c r="B219" s="27">
        <v>19</v>
      </c>
      <c r="C219">
        <v>4.0999999999999996</v>
      </c>
      <c r="D219" t="s">
        <v>120</v>
      </c>
      <c r="E219" t="str">
        <f t="shared" si="9"/>
        <v>'AddressFrom':9</v>
      </c>
      <c r="F219" t="str">
        <f t="shared" si="10"/>
        <v>'AddressTo':19</v>
      </c>
      <c r="G219" t="str">
        <f t="shared" si="11"/>
        <v>'Distance':4.1</v>
      </c>
      <c r="H219" t="s">
        <v>121</v>
      </c>
    </row>
    <row r="220" spans="1:8" x14ac:dyDescent="0.25">
      <c r="A220" s="27">
        <v>9</v>
      </c>
      <c r="B220" s="27">
        <v>20</v>
      </c>
      <c r="C220">
        <v>3.8</v>
      </c>
      <c r="D220" t="s">
        <v>120</v>
      </c>
      <c r="E220" t="str">
        <f t="shared" si="9"/>
        <v>'AddressFrom':9</v>
      </c>
      <c r="F220" t="str">
        <f t="shared" si="10"/>
        <v>'AddressTo':20</v>
      </c>
      <c r="G220" t="str">
        <f t="shared" si="11"/>
        <v>'Distance':3.8</v>
      </c>
      <c r="H220" t="s">
        <v>121</v>
      </c>
    </row>
    <row r="221" spans="1:8" x14ac:dyDescent="0.25">
      <c r="A221" s="27">
        <v>9</v>
      </c>
      <c r="B221" s="27">
        <v>21</v>
      </c>
      <c r="C221">
        <v>5.8</v>
      </c>
      <c r="D221" t="s">
        <v>120</v>
      </c>
      <c r="E221" t="str">
        <f t="shared" si="9"/>
        <v>'AddressFrom':9</v>
      </c>
      <c r="F221" t="str">
        <f t="shared" si="10"/>
        <v>'AddressTo':21</v>
      </c>
      <c r="G221" t="str">
        <f t="shared" si="11"/>
        <v>'Distance':5.8</v>
      </c>
      <c r="H221" t="s">
        <v>121</v>
      </c>
    </row>
    <row r="222" spans="1:8" x14ac:dyDescent="0.25">
      <c r="A222" s="27">
        <v>9</v>
      </c>
      <c r="B222" s="27">
        <v>22</v>
      </c>
      <c r="C222">
        <v>4.3</v>
      </c>
      <c r="D222" t="s">
        <v>120</v>
      </c>
      <c r="E222" t="str">
        <f t="shared" si="9"/>
        <v>'AddressFrom':9</v>
      </c>
      <c r="F222" t="str">
        <f t="shared" si="10"/>
        <v>'AddressTo':22</v>
      </c>
      <c r="G222" t="str">
        <f t="shared" si="11"/>
        <v>'Distance':4.3</v>
      </c>
      <c r="H222" t="s">
        <v>121</v>
      </c>
    </row>
    <row r="223" spans="1:8" x14ac:dyDescent="0.25">
      <c r="A223" s="27">
        <v>9</v>
      </c>
      <c r="B223" s="27">
        <v>23</v>
      </c>
      <c r="C223">
        <v>7.8</v>
      </c>
      <c r="D223" t="s">
        <v>120</v>
      </c>
      <c r="E223" t="str">
        <f t="shared" si="9"/>
        <v>'AddressFrom':9</v>
      </c>
      <c r="F223" t="str">
        <f t="shared" si="10"/>
        <v>'AddressTo':23</v>
      </c>
      <c r="G223" t="str">
        <f t="shared" si="11"/>
        <v>'Distance':7.8</v>
      </c>
      <c r="H223" t="s">
        <v>121</v>
      </c>
    </row>
    <row r="224" spans="1:8" x14ac:dyDescent="0.25">
      <c r="A224" s="27">
        <v>9</v>
      </c>
      <c r="B224" s="27">
        <v>24</v>
      </c>
      <c r="C224">
        <v>4.8</v>
      </c>
      <c r="D224" t="s">
        <v>120</v>
      </c>
      <c r="E224" t="str">
        <f t="shared" si="9"/>
        <v>'AddressFrom':9</v>
      </c>
      <c r="F224" t="str">
        <f t="shared" si="10"/>
        <v>'AddressTo':24</v>
      </c>
      <c r="G224" t="str">
        <f t="shared" si="11"/>
        <v>'Distance':4.8</v>
      </c>
      <c r="H224" t="s">
        <v>121</v>
      </c>
    </row>
    <row r="225" spans="1:8" x14ac:dyDescent="0.25">
      <c r="A225" s="27">
        <v>9</v>
      </c>
      <c r="B225" s="27">
        <v>25</v>
      </c>
      <c r="C225">
        <v>3.2</v>
      </c>
      <c r="D225" t="s">
        <v>120</v>
      </c>
      <c r="E225" t="str">
        <f t="shared" si="9"/>
        <v>'AddressFrom':9</v>
      </c>
      <c r="F225" t="str">
        <f t="shared" si="10"/>
        <v>'AddressTo':25</v>
      </c>
      <c r="G225" t="str">
        <f t="shared" si="11"/>
        <v>'Distance':3.2</v>
      </c>
      <c r="H225" t="s">
        <v>121</v>
      </c>
    </row>
    <row r="226" spans="1:8" x14ac:dyDescent="0.25">
      <c r="A226" s="27">
        <v>9</v>
      </c>
      <c r="B226" s="27">
        <v>26</v>
      </c>
      <c r="C226">
        <v>6</v>
      </c>
      <c r="D226" t="s">
        <v>120</v>
      </c>
      <c r="E226" t="str">
        <f t="shared" si="9"/>
        <v>'AddressFrom':9</v>
      </c>
      <c r="F226" t="str">
        <f t="shared" si="10"/>
        <v>'AddressTo':26</v>
      </c>
      <c r="G226" t="str">
        <f t="shared" si="11"/>
        <v>'Distance':6</v>
      </c>
      <c r="H226" t="s">
        <v>121</v>
      </c>
    </row>
    <row r="227" spans="1:8" x14ac:dyDescent="0.25">
      <c r="A227" s="27">
        <v>10</v>
      </c>
      <c r="B227" s="27">
        <v>10</v>
      </c>
      <c r="C227">
        <v>0</v>
      </c>
      <c r="D227" t="s">
        <v>120</v>
      </c>
      <c r="E227" t="str">
        <f t="shared" si="9"/>
        <v>'AddressFrom':10</v>
      </c>
      <c r="F227" t="str">
        <f t="shared" si="10"/>
        <v>'AddressTo':10</v>
      </c>
      <c r="G227" t="str">
        <f t="shared" si="11"/>
        <v>'Distance':0</v>
      </c>
      <c r="H227" t="s">
        <v>121</v>
      </c>
    </row>
    <row r="228" spans="1:8" x14ac:dyDescent="0.25">
      <c r="A228" s="27">
        <v>10</v>
      </c>
      <c r="B228" s="27">
        <v>11</v>
      </c>
      <c r="C228">
        <v>7.3</v>
      </c>
      <c r="D228" t="s">
        <v>120</v>
      </c>
      <c r="E228" t="str">
        <f t="shared" si="9"/>
        <v>'AddressFrom':10</v>
      </c>
      <c r="F228" t="str">
        <f t="shared" si="10"/>
        <v>'AddressTo':11</v>
      </c>
      <c r="G228" t="str">
        <f t="shared" si="11"/>
        <v>'Distance':7.3</v>
      </c>
      <c r="H228" t="s">
        <v>121</v>
      </c>
    </row>
    <row r="229" spans="1:8" x14ac:dyDescent="0.25">
      <c r="A229" s="27">
        <v>10</v>
      </c>
      <c r="B229" s="27">
        <v>12</v>
      </c>
      <c r="C229">
        <v>12</v>
      </c>
      <c r="D229" t="s">
        <v>120</v>
      </c>
      <c r="E229" t="str">
        <f t="shared" si="9"/>
        <v>'AddressFrom':10</v>
      </c>
      <c r="F229" t="str">
        <f t="shared" si="10"/>
        <v>'AddressTo':12</v>
      </c>
      <c r="G229" t="str">
        <f t="shared" si="11"/>
        <v>'Distance':12</v>
      </c>
      <c r="H229" t="s">
        <v>121</v>
      </c>
    </row>
    <row r="230" spans="1:8" x14ac:dyDescent="0.25">
      <c r="A230" s="27">
        <v>10</v>
      </c>
      <c r="B230" s="27">
        <v>13</v>
      </c>
      <c r="C230">
        <v>4.9000000000000004</v>
      </c>
      <c r="D230" t="s">
        <v>120</v>
      </c>
      <c r="E230" t="str">
        <f t="shared" si="9"/>
        <v>'AddressFrom':10</v>
      </c>
      <c r="F230" t="str">
        <f t="shared" si="10"/>
        <v>'AddressTo':13</v>
      </c>
      <c r="G230" t="str">
        <f t="shared" si="11"/>
        <v>'Distance':4.9</v>
      </c>
      <c r="H230" t="s">
        <v>121</v>
      </c>
    </row>
    <row r="231" spans="1:8" x14ac:dyDescent="0.25">
      <c r="A231" s="27">
        <v>10</v>
      </c>
      <c r="B231" s="27">
        <v>14</v>
      </c>
      <c r="C231">
        <v>5.2</v>
      </c>
      <c r="D231" t="s">
        <v>120</v>
      </c>
      <c r="E231" t="str">
        <f t="shared" si="9"/>
        <v>'AddressFrom':10</v>
      </c>
      <c r="F231" t="str">
        <f t="shared" si="10"/>
        <v>'AddressTo':14</v>
      </c>
      <c r="G231" t="str">
        <f t="shared" si="11"/>
        <v>'Distance':5.2</v>
      </c>
      <c r="H231" t="s">
        <v>121</v>
      </c>
    </row>
    <row r="232" spans="1:8" x14ac:dyDescent="0.25">
      <c r="A232" s="27">
        <v>10</v>
      </c>
      <c r="B232" s="27">
        <v>15</v>
      </c>
      <c r="C232">
        <v>5.4</v>
      </c>
      <c r="D232" t="s">
        <v>120</v>
      </c>
      <c r="E232" t="str">
        <f t="shared" si="9"/>
        <v>'AddressFrom':10</v>
      </c>
      <c r="F232" t="str">
        <f t="shared" si="10"/>
        <v>'AddressTo':15</v>
      </c>
      <c r="G232" t="str">
        <f t="shared" si="11"/>
        <v>'Distance':5.4</v>
      </c>
      <c r="H232" t="s">
        <v>121</v>
      </c>
    </row>
    <row r="233" spans="1:8" x14ac:dyDescent="0.25">
      <c r="A233" s="27">
        <v>10</v>
      </c>
      <c r="B233" s="27">
        <v>16</v>
      </c>
      <c r="C233">
        <v>8.1</v>
      </c>
      <c r="D233" t="s">
        <v>120</v>
      </c>
      <c r="E233" t="str">
        <f t="shared" si="9"/>
        <v>'AddressFrom':10</v>
      </c>
      <c r="F233" t="str">
        <f t="shared" si="10"/>
        <v>'AddressTo':16</v>
      </c>
      <c r="G233" t="str">
        <f t="shared" si="11"/>
        <v>'Distance':8.1</v>
      </c>
      <c r="H233" t="s">
        <v>121</v>
      </c>
    </row>
    <row r="234" spans="1:8" x14ac:dyDescent="0.25">
      <c r="A234" s="27">
        <v>10</v>
      </c>
      <c r="B234" s="27">
        <v>17</v>
      </c>
      <c r="C234">
        <v>6.2</v>
      </c>
      <c r="D234" t="s">
        <v>120</v>
      </c>
      <c r="E234" t="str">
        <f t="shared" si="9"/>
        <v>'AddressFrom':10</v>
      </c>
      <c r="F234" t="str">
        <f t="shared" si="10"/>
        <v>'AddressTo':17</v>
      </c>
      <c r="G234" t="str">
        <f t="shared" si="11"/>
        <v>'Distance':6.2</v>
      </c>
      <c r="H234" t="s">
        <v>121</v>
      </c>
    </row>
    <row r="235" spans="1:8" x14ac:dyDescent="0.25">
      <c r="A235" s="27">
        <v>10</v>
      </c>
      <c r="B235" s="27">
        <v>18</v>
      </c>
      <c r="C235">
        <v>6.9</v>
      </c>
      <c r="D235" t="s">
        <v>120</v>
      </c>
      <c r="E235" t="str">
        <f t="shared" si="9"/>
        <v>'AddressFrom':10</v>
      </c>
      <c r="F235" t="str">
        <f t="shared" si="10"/>
        <v>'AddressTo':18</v>
      </c>
      <c r="G235" t="str">
        <f t="shared" si="11"/>
        <v>'Distance':6.9</v>
      </c>
      <c r="H235" t="s">
        <v>121</v>
      </c>
    </row>
    <row r="236" spans="1:8" x14ac:dyDescent="0.25">
      <c r="A236" s="27">
        <v>10</v>
      </c>
      <c r="B236" s="27">
        <v>19</v>
      </c>
      <c r="C236">
        <v>11.5</v>
      </c>
      <c r="D236" t="s">
        <v>120</v>
      </c>
      <c r="E236" t="str">
        <f t="shared" si="9"/>
        <v>'AddressFrom':10</v>
      </c>
      <c r="F236" t="str">
        <f t="shared" si="10"/>
        <v>'AddressTo':19</v>
      </c>
      <c r="G236" t="str">
        <f t="shared" si="11"/>
        <v>'Distance':11.5</v>
      </c>
      <c r="H236" t="s">
        <v>121</v>
      </c>
    </row>
    <row r="237" spans="1:8" x14ac:dyDescent="0.25">
      <c r="A237" s="27">
        <v>10</v>
      </c>
      <c r="B237" s="27">
        <v>20</v>
      </c>
      <c r="C237">
        <v>6.9</v>
      </c>
      <c r="D237" t="s">
        <v>120</v>
      </c>
      <c r="E237" t="str">
        <f t="shared" si="9"/>
        <v>'AddressFrom':10</v>
      </c>
      <c r="F237" t="str">
        <f t="shared" si="10"/>
        <v>'AddressTo':20</v>
      </c>
      <c r="G237" t="str">
        <f t="shared" si="11"/>
        <v>'Distance':6.9</v>
      </c>
      <c r="H237" t="s">
        <v>121</v>
      </c>
    </row>
    <row r="238" spans="1:8" x14ac:dyDescent="0.25">
      <c r="A238" s="27">
        <v>10</v>
      </c>
      <c r="B238" s="27">
        <v>21</v>
      </c>
      <c r="C238">
        <v>8.3000000000000007</v>
      </c>
      <c r="D238" t="s">
        <v>120</v>
      </c>
      <c r="E238" t="str">
        <f t="shared" si="9"/>
        <v>'AddressFrom':10</v>
      </c>
      <c r="F238" t="str">
        <f t="shared" si="10"/>
        <v>'AddressTo':21</v>
      </c>
      <c r="G238" t="str">
        <f t="shared" si="11"/>
        <v>'Distance':8.3</v>
      </c>
      <c r="H238" t="s">
        <v>121</v>
      </c>
    </row>
    <row r="239" spans="1:8" x14ac:dyDescent="0.25">
      <c r="A239" s="27">
        <v>10</v>
      </c>
      <c r="B239" s="27">
        <v>22</v>
      </c>
      <c r="C239">
        <v>4.0999999999999996</v>
      </c>
      <c r="D239" t="s">
        <v>120</v>
      </c>
      <c r="E239" t="str">
        <f t="shared" si="9"/>
        <v>'AddressFrom':10</v>
      </c>
      <c r="F239" t="str">
        <f t="shared" si="10"/>
        <v>'AddressTo':22</v>
      </c>
      <c r="G239" t="str">
        <f t="shared" si="11"/>
        <v>'Distance':4.1</v>
      </c>
      <c r="H239" t="s">
        <v>121</v>
      </c>
    </row>
    <row r="240" spans="1:8" x14ac:dyDescent="0.25">
      <c r="A240" s="27">
        <v>10</v>
      </c>
      <c r="B240" s="27">
        <v>23</v>
      </c>
      <c r="C240">
        <v>0.4</v>
      </c>
      <c r="D240" t="s">
        <v>120</v>
      </c>
      <c r="E240" t="str">
        <f t="shared" si="9"/>
        <v>'AddressFrom':10</v>
      </c>
      <c r="F240" t="str">
        <f t="shared" si="10"/>
        <v>'AddressTo':23</v>
      </c>
      <c r="G240" t="str">
        <f t="shared" si="11"/>
        <v>'Distance':0.4</v>
      </c>
      <c r="H240" t="s">
        <v>121</v>
      </c>
    </row>
    <row r="241" spans="1:8" x14ac:dyDescent="0.25">
      <c r="A241" s="27">
        <v>10</v>
      </c>
      <c r="B241" s="27">
        <v>24</v>
      </c>
      <c r="C241">
        <v>4.9000000000000004</v>
      </c>
      <c r="D241" t="s">
        <v>120</v>
      </c>
      <c r="E241" t="str">
        <f t="shared" si="9"/>
        <v>'AddressFrom':10</v>
      </c>
      <c r="F241" t="str">
        <f t="shared" si="10"/>
        <v>'AddressTo':24</v>
      </c>
      <c r="G241" t="str">
        <f t="shared" si="11"/>
        <v>'Distance':4.9</v>
      </c>
      <c r="H241" t="s">
        <v>121</v>
      </c>
    </row>
    <row r="242" spans="1:8" x14ac:dyDescent="0.25">
      <c r="A242" s="27">
        <v>10</v>
      </c>
      <c r="B242" s="27">
        <v>25</v>
      </c>
      <c r="C242">
        <v>11</v>
      </c>
      <c r="D242" t="s">
        <v>120</v>
      </c>
      <c r="E242" t="str">
        <f t="shared" si="9"/>
        <v>'AddressFrom':10</v>
      </c>
      <c r="F242" t="str">
        <f t="shared" si="10"/>
        <v>'AddressTo':25</v>
      </c>
      <c r="G242" t="str">
        <f t="shared" si="11"/>
        <v>'Distance':11</v>
      </c>
      <c r="H242" t="s">
        <v>121</v>
      </c>
    </row>
    <row r="243" spans="1:8" x14ac:dyDescent="0.25">
      <c r="A243" s="27">
        <v>10</v>
      </c>
      <c r="B243" s="27">
        <v>26</v>
      </c>
      <c r="C243">
        <v>6.8</v>
      </c>
      <c r="D243" t="s">
        <v>120</v>
      </c>
      <c r="E243" t="str">
        <f t="shared" si="9"/>
        <v>'AddressFrom':10</v>
      </c>
      <c r="F243" t="str">
        <f t="shared" si="10"/>
        <v>'AddressTo':26</v>
      </c>
      <c r="G243" t="str">
        <f t="shared" si="11"/>
        <v>'Distance':6.8</v>
      </c>
      <c r="H243" t="s">
        <v>121</v>
      </c>
    </row>
    <row r="244" spans="1:8" x14ac:dyDescent="0.25">
      <c r="A244" s="27">
        <v>11</v>
      </c>
      <c r="B244" s="27">
        <v>11</v>
      </c>
      <c r="C244">
        <v>0</v>
      </c>
      <c r="D244" t="s">
        <v>120</v>
      </c>
      <c r="E244" t="str">
        <f t="shared" si="9"/>
        <v>'AddressFrom':11</v>
      </c>
      <c r="F244" t="str">
        <f t="shared" si="10"/>
        <v>'AddressTo':11</v>
      </c>
      <c r="G244" t="str">
        <f t="shared" si="11"/>
        <v>'Distance':0</v>
      </c>
      <c r="H244" t="s">
        <v>121</v>
      </c>
    </row>
    <row r="245" spans="1:8" x14ac:dyDescent="0.25">
      <c r="A245" s="27">
        <v>11</v>
      </c>
      <c r="B245" s="27">
        <v>12</v>
      </c>
      <c r="C245">
        <v>4.7</v>
      </c>
      <c r="D245" t="s">
        <v>120</v>
      </c>
      <c r="E245" t="str">
        <f t="shared" si="9"/>
        <v>'AddressFrom':11</v>
      </c>
      <c r="F245" t="str">
        <f t="shared" si="10"/>
        <v>'AddressTo':12</v>
      </c>
      <c r="G245" t="str">
        <f t="shared" si="11"/>
        <v>'Distance':4.7</v>
      </c>
      <c r="H245" t="s">
        <v>121</v>
      </c>
    </row>
    <row r="246" spans="1:8" x14ac:dyDescent="0.25">
      <c r="A246" s="27">
        <v>11</v>
      </c>
      <c r="B246" s="27">
        <v>13</v>
      </c>
      <c r="C246">
        <v>3.5</v>
      </c>
      <c r="D246" t="s">
        <v>120</v>
      </c>
      <c r="E246" t="str">
        <f t="shared" si="9"/>
        <v>'AddressFrom':11</v>
      </c>
      <c r="F246" t="str">
        <f t="shared" si="10"/>
        <v>'AddressTo':13</v>
      </c>
      <c r="G246" t="str">
        <f t="shared" si="11"/>
        <v>'Distance':3.5</v>
      </c>
      <c r="H246" t="s">
        <v>121</v>
      </c>
    </row>
    <row r="247" spans="1:8" x14ac:dyDescent="0.25">
      <c r="A247" s="27">
        <v>11</v>
      </c>
      <c r="B247" s="27">
        <v>14</v>
      </c>
      <c r="C247">
        <v>2.6</v>
      </c>
      <c r="D247" t="s">
        <v>120</v>
      </c>
      <c r="E247" t="str">
        <f t="shared" si="9"/>
        <v>'AddressFrom':11</v>
      </c>
      <c r="F247" t="str">
        <f t="shared" si="10"/>
        <v>'AddressTo':14</v>
      </c>
      <c r="G247" t="str">
        <f t="shared" si="11"/>
        <v>'Distance':2.6</v>
      </c>
      <c r="H247" t="s">
        <v>121</v>
      </c>
    </row>
    <row r="248" spans="1:8" x14ac:dyDescent="0.25">
      <c r="A248" s="27">
        <v>11</v>
      </c>
      <c r="B248" s="27">
        <v>15</v>
      </c>
      <c r="C248">
        <v>2.9</v>
      </c>
      <c r="D248" t="s">
        <v>120</v>
      </c>
      <c r="E248" t="str">
        <f t="shared" si="9"/>
        <v>'AddressFrom':11</v>
      </c>
      <c r="F248" t="str">
        <f t="shared" si="10"/>
        <v>'AddressTo':15</v>
      </c>
      <c r="G248" t="str">
        <f t="shared" si="11"/>
        <v>'Distance':2.9</v>
      </c>
      <c r="H248" t="s">
        <v>121</v>
      </c>
    </row>
    <row r="249" spans="1:8" x14ac:dyDescent="0.25">
      <c r="A249" s="27">
        <v>11</v>
      </c>
      <c r="B249" s="27">
        <v>16</v>
      </c>
      <c r="C249">
        <v>6.3</v>
      </c>
      <c r="D249" t="s">
        <v>120</v>
      </c>
      <c r="E249" t="str">
        <f t="shared" si="9"/>
        <v>'AddressFrom':11</v>
      </c>
      <c r="F249" t="str">
        <f t="shared" si="10"/>
        <v>'AddressTo':16</v>
      </c>
      <c r="G249" t="str">
        <f t="shared" si="11"/>
        <v>'Distance':6.3</v>
      </c>
      <c r="H249" t="s">
        <v>121</v>
      </c>
    </row>
    <row r="250" spans="1:8" x14ac:dyDescent="0.25">
      <c r="A250" s="27">
        <v>11</v>
      </c>
      <c r="B250" s="27">
        <v>17</v>
      </c>
      <c r="C250">
        <v>1.2</v>
      </c>
      <c r="D250" t="s">
        <v>120</v>
      </c>
      <c r="E250" t="str">
        <f t="shared" si="9"/>
        <v>'AddressFrom':11</v>
      </c>
      <c r="F250" t="str">
        <f t="shared" si="10"/>
        <v>'AddressTo':17</v>
      </c>
      <c r="G250" t="str">
        <f t="shared" si="11"/>
        <v>'Distance':1.2</v>
      </c>
      <c r="H250" t="s">
        <v>121</v>
      </c>
    </row>
    <row r="251" spans="1:8" x14ac:dyDescent="0.25">
      <c r="A251" s="27">
        <v>11</v>
      </c>
      <c r="B251" s="27">
        <v>18</v>
      </c>
      <c r="C251">
        <v>1</v>
      </c>
      <c r="D251" t="s">
        <v>120</v>
      </c>
      <c r="E251" t="str">
        <f t="shared" si="9"/>
        <v>'AddressFrom':11</v>
      </c>
      <c r="F251" t="str">
        <f t="shared" si="10"/>
        <v>'AddressTo':18</v>
      </c>
      <c r="G251" t="str">
        <f t="shared" si="11"/>
        <v>'Distance':1</v>
      </c>
      <c r="H251" t="s">
        <v>121</v>
      </c>
    </row>
    <row r="252" spans="1:8" x14ac:dyDescent="0.25">
      <c r="A252" s="27">
        <v>11</v>
      </c>
      <c r="B252" s="27">
        <v>19</v>
      </c>
      <c r="C252">
        <v>3.7</v>
      </c>
      <c r="D252" t="s">
        <v>120</v>
      </c>
      <c r="E252" t="str">
        <f t="shared" si="9"/>
        <v>'AddressFrom':11</v>
      </c>
      <c r="F252" t="str">
        <f t="shared" si="10"/>
        <v>'AddressTo':19</v>
      </c>
      <c r="G252" t="str">
        <f t="shared" si="11"/>
        <v>'Distance':3.7</v>
      </c>
      <c r="H252" t="s">
        <v>121</v>
      </c>
    </row>
    <row r="253" spans="1:8" x14ac:dyDescent="0.25">
      <c r="A253" s="27">
        <v>11</v>
      </c>
      <c r="B253" s="27">
        <v>20</v>
      </c>
      <c r="C253">
        <v>4.0999999999999996</v>
      </c>
      <c r="D253" t="s">
        <v>120</v>
      </c>
      <c r="E253" t="str">
        <f t="shared" si="9"/>
        <v>'AddressFrom':11</v>
      </c>
      <c r="F253" t="str">
        <f t="shared" si="10"/>
        <v>'AddressTo':20</v>
      </c>
      <c r="G253" t="str">
        <f t="shared" si="11"/>
        <v>'Distance':4.1</v>
      </c>
      <c r="H253" t="s">
        <v>121</v>
      </c>
    </row>
    <row r="254" spans="1:8" x14ac:dyDescent="0.25">
      <c r="A254" s="27">
        <v>11</v>
      </c>
      <c r="B254" s="27">
        <v>21</v>
      </c>
      <c r="C254">
        <v>6.2</v>
      </c>
      <c r="D254" t="s">
        <v>120</v>
      </c>
      <c r="E254" t="str">
        <f t="shared" si="9"/>
        <v>'AddressFrom':11</v>
      </c>
      <c r="F254" t="str">
        <f t="shared" si="10"/>
        <v>'AddressTo':21</v>
      </c>
      <c r="G254" t="str">
        <f t="shared" si="11"/>
        <v>'Distance':6.2</v>
      </c>
      <c r="H254" t="s">
        <v>121</v>
      </c>
    </row>
    <row r="255" spans="1:8" x14ac:dyDescent="0.25">
      <c r="A255" s="27">
        <v>11</v>
      </c>
      <c r="B255" s="27">
        <v>22</v>
      </c>
      <c r="C255">
        <v>3.4</v>
      </c>
      <c r="D255" t="s">
        <v>120</v>
      </c>
      <c r="E255" t="str">
        <f t="shared" si="9"/>
        <v>'AddressFrom':11</v>
      </c>
      <c r="F255" t="str">
        <f t="shared" si="10"/>
        <v>'AddressTo':22</v>
      </c>
      <c r="G255" t="str">
        <f t="shared" si="11"/>
        <v>'Distance':3.4</v>
      </c>
      <c r="H255" t="s">
        <v>121</v>
      </c>
    </row>
    <row r="256" spans="1:8" x14ac:dyDescent="0.25">
      <c r="A256" s="27">
        <v>11</v>
      </c>
      <c r="B256" s="27">
        <v>23</v>
      </c>
      <c r="C256">
        <v>6.9</v>
      </c>
      <c r="D256" t="s">
        <v>120</v>
      </c>
      <c r="E256" t="str">
        <f t="shared" si="9"/>
        <v>'AddressFrom':11</v>
      </c>
      <c r="F256" t="str">
        <f t="shared" si="10"/>
        <v>'AddressTo':23</v>
      </c>
      <c r="G256" t="str">
        <f t="shared" si="11"/>
        <v>'Distance':6.9</v>
      </c>
      <c r="H256" t="s">
        <v>121</v>
      </c>
    </row>
    <row r="257" spans="1:8" x14ac:dyDescent="0.25">
      <c r="A257" s="27">
        <v>11</v>
      </c>
      <c r="B257" s="27">
        <v>24</v>
      </c>
      <c r="C257">
        <v>5.2</v>
      </c>
      <c r="D257" t="s">
        <v>120</v>
      </c>
      <c r="E257" t="str">
        <f t="shared" si="9"/>
        <v>'AddressFrom':11</v>
      </c>
      <c r="F257" t="str">
        <f t="shared" si="10"/>
        <v>'AddressTo':24</v>
      </c>
      <c r="G257" t="str">
        <f t="shared" si="11"/>
        <v>'Distance':5.2</v>
      </c>
      <c r="H257" t="s">
        <v>121</v>
      </c>
    </row>
    <row r="258" spans="1:8" x14ac:dyDescent="0.25">
      <c r="A258" s="27">
        <v>11</v>
      </c>
      <c r="B258" s="27">
        <v>25</v>
      </c>
      <c r="C258">
        <v>3.7</v>
      </c>
      <c r="D258" t="s">
        <v>120</v>
      </c>
      <c r="E258" t="str">
        <f t="shared" si="9"/>
        <v>'AddressFrom':11</v>
      </c>
      <c r="F258" t="str">
        <f t="shared" si="10"/>
        <v>'AddressTo':25</v>
      </c>
      <c r="G258" t="str">
        <f t="shared" si="11"/>
        <v>'Distance':3.7</v>
      </c>
      <c r="H258" t="s">
        <v>121</v>
      </c>
    </row>
    <row r="259" spans="1:8" x14ac:dyDescent="0.25">
      <c r="A259" s="27">
        <v>11</v>
      </c>
      <c r="B259" s="27">
        <v>26</v>
      </c>
      <c r="C259">
        <v>6.4</v>
      </c>
      <c r="D259" t="s">
        <v>120</v>
      </c>
      <c r="E259" t="str">
        <f t="shared" ref="E259:E322" si="12">"'AddressFrom':" &amp; A259</f>
        <v>'AddressFrom':11</v>
      </c>
      <c r="F259" t="str">
        <f t="shared" ref="F259:F322" si="13">"'AddressTo':" &amp; B259</f>
        <v>'AddressTo':26</v>
      </c>
      <c r="G259" t="str">
        <f t="shared" ref="G259:G322" si="14">"'Distance':" &amp; C259</f>
        <v>'Distance':6.4</v>
      </c>
      <c r="H259" t="s">
        <v>121</v>
      </c>
    </row>
    <row r="260" spans="1:8" x14ac:dyDescent="0.25">
      <c r="A260" s="27">
        <v>12</v>
      </c>
      <c r="B260" s="27">
        <v>12</v>
      </c>
      <c r="C260">
        <v>0</v>
      </c>
      <c r="D260" t="s">
        <v>120</v>
      </c>
      <c r="E260" t="str">
        <f t="shared" si="12"/>
        <v>'AddressFrom':12</v>
      </c>
      <c r="F260" t="str">
        <f t="shared" si="13"/>
        <v>'AddressTo':12</v>
      </c>
      <c r="G260" t="str">
        <f t="shared" si="14"/>
        <v>'Distance':0</v>
      </c>
      <c r="H260" t="s">
        <v>121</v>
      </c>
    </row>
    <row r="261" spans="1:8" x14ac:dyDescent="0.25">
      <c r="A261" s="27">
        <v>12</v>
      </c>
      <c r="B261" s="27">
        <v>13</v>
      </c>
      <c r="C261">
        <v>7.3</v>
      </c>
      <c r="D261" t="s">
        <v>120</v>
      </c>
      <c r="E261" t="str">
        <f t="shared" si="12"/>
        <v>'AddressFrom':12</v>
      </c>
      <c r="F261" t="str">
        <f t="shared" si="13"/>
        <v>'AddressTo':13</v>
      </c>
      <c r="G261" t="str">
        <f t="shared" si="14"/>
        <v>'Distance':7.3</v>
      </c>
      <c r="H261" t="s">
        <v>121</v>
      </c>
    </row>
    <row r="262" spans="1:8" x14ac:dyDescent="0.25">
      <c r="A262" s="27">
        <v>12</v>
      </c>
      <c r="B262" s="27">
        <v>14</v>
      </c>
      <c r="C262">
        <v>7.8</v>
      </c>
      <c r="D262" t="s">
        <v>120</v>
      </c>
      <c r="E262" t="str">
        <f t="shared" si="12"/>
        <v>'AddressFrom':12</v>
      </c>
      <c r="F262" t="str">
        <f t="shared" si="13"/>
        <v>'AddressTo':14</v>
      </c>
      <c r="G262" t="str">
        <f t="shared" si="14"/>
        <v>'Distance':7.8</v>
      </c>
      <c r="H262" t="s">
        <v>121</v>
      </c>
    </row>
    <row r="263" spans="1:8" x14ac:dyDescent="0.25">
      <c r="A263" s="27">
        <v>12</v>
      </c>
      <c r="B263" s="27">
        <v>15</v>
      </c>
      <c r="C263">
        <v>6.6</v>
      </c>
      <c r="D263" t="s">
        <v>120</v>
      </c>
      <c r="E263" t="str">
        <f t="shared" si="12"/>
        <v>'AddressFrom':12</v>
      </c>
      <c r="F263" t="str">
        <f t="shared" si="13"/>
        <v>'AddressTo':15</v>
      </c>
      <c r="G263" t="str">
        <f t="shared" si="14"/>
        <v>'Distance':6.6</v>
      </c>
      <c r="H263" t="s">
        <v>121</v>
      </c>
    </row>
    <row r="264" spans="1:8" x14ac:dyDescent="0.25">
      <c r="A264" s="27">
        <v>12</v>
      </c>
      <c r="B264" s="27">
        <v>16</v>
      </c>
      <c r="C264">
        <v>7.2</v>
      </c>
      <c r="D264" t="s">
        <v>120</v>
      </c>
      <c r="E264" t="str">
        <f t="shared" si="12"/>
        <v>'AddressFrom':12</v>
      </c>
      <c r="F264" t="str">
        <f t="shared" si="13"/>
        <v>'AddressTo':16</v>
      </c>
      <c r="G264" t="str">
        <f t="shared" si="14"/>
        <v>'Distance':7.2</v>
      </c>
      <c r="H264" t="s">
        <v>121</v>
      </c>
    </row>
    <row r="265" spans="1:8" x14ac:dyDescent="0.25">
      <c r="A265" s="27">
        <v>12</v>
      </c>
      <c r="B265" s="27">
        <v>17</v>
      </c>
      <c r="C265">
        <v>5.9</v>
      </c>
      <c r="D265" t="s">
        <v>120</v>
      </c>
      <c r="E265" t="str">
        <f t="shared" si="12"/>
        <v>'AddressFrom':12</v>
      </c>
      <c r="F265" t="str">
        <f t="shared" si="13"/>
        <v>'AddressTo':17</v>
      </c>
      <c r="G265" t="str">
        <f t="shared" si="14"/>
        <v>'Distance':5.9</v>
      </c>
      <c r="H265" t="s">
        <v>121</v>
      </c>
    </row>
    <row r="266" spans="1:8" x14ac:dyDescent="0.25">
      <c r="A266" s="27">
        <v>12</v>
      </c>
      <c r="B266" s="27">
        <v>18</v>
      </c>
      <c r="C266">
        <v>5.4</v>
      </c>
      <c r="D266" t="s">
        <v>120</v>
      </c>
      <c r="E266" t="str">
        <f t="shared" si="12"/>
        <v>'AddressFrom':12</v>
      </c>
      <c r="F266" t="str">
        <f t="shared" si="13"/>
        <v>'AddressTo':18</v>
      </c>
      <c r="G266" t="str">
        <f t="shared" si="14"/>
        <v>'Distance':5.4</v>
      </c>
      <c r="H266" t="s">
        <v>121</v>
      </c>
    </row>
    <row r="267" spans="1:8" x14ac:dyDescent="0.25">
      <c r="A267" s="27">
        <v>12</v>
      </c>
      <c r="B267" s="27">
        <v>19</v>
      </c>
      <c r="C267">
        <v>1</v>
      </c>
      <c r="D267" t="s">
        <v>120</v>
      </c>
      <c r="E267" t="str">
        <f t="shared" si="12"/>
        <v>'AddressFrom':12</v>
      </c>
      <c r="F267" t="str">
        <f t="shared" si="13"/>
        <v>'AddressTo':19</v>
      </c>
      <c r="G267" t="str">
        <f t="shared" si="14"/>
        <v>'Distance':1</v>
      </c>
      <c r="H267" t="s">
        <v>121</v>
      </c>
    </row>
    <row r="268" spans="1:8" x14ac:dyDescent="0.25">
      <c r="A268" s="27">
        <v>12</v>
      </c>
      <c r="B268" s="27">
        <v>20</v>
      </c>
      <c r="C268">
        <v>8.5</v>
      </c>
      <c r="D268" t="s">
        <v>120</v>
      </c>
      <c r="E268" t="str">
        <f t="shared" si="12"/>
        <v>'AddressFrom':12</v>
      </c>
      <c r="F268" t="str">
        <f t="shared" si="13"/>
        <v>'AddressTo':20</v>
      </c>
      <c r="G268" t="str">
        <f t="shared" si="14"/>
        <v>'Distance':8.5</v>
      </c>
      <c r="H268" t="s">
        <v>121</v>
      </c>
    </row>
    <row r="269" spans="1:8" x14ac:dyDescent="0.25">
      <c r="A269" s="27">
        <v>12</v>
      </c>
      <c r="B269" s="27">
        <v>21</v>
      </c>
      <c r="C269">
        <v>10.3</v>
      </c>
      <c r="D269" t="s">
        <v>120</v>
      </c>
      <c r="E269" t="str">
        <f t="shared" si="12"/>
        <v>'AddressFrom':12</v>
      </c>
      <c r="F269" t="str">
        <f t="shared" si="13"/>
        <v>'AddressTo':21</v>
      </c>
      <c r="G269" t="str">
        <f t="shared" si="14"/>
        <v>'Distance':10.3</v>
      </c>
      <c r="H269" t="s">
        <v>121</v>
      </c>
    </row>
    <row r="270" spans="1:8" x14ac:dyDescent="0.25">
      <c r="A270" s="27">
        <v>12</v>
      </c>
      <c r="B270" s="27">
        <v>22</v>
      </c>
      <c r="C270">
        <v>7.8</v>
      </c>
      <c r="D270" t="s">
        <v>120</v>
      </c>
      <c r="E270" t="str">
        <f t="shared" si="12"/>
        <v>'AddressFrom':12</v>
      </c>
      <c r="F270" t="str">
        <f t="shared" si="13"/>
        <v>'AddressTo':22</v>
      </c>
      <c r="G270" t="str">
        <f t="shared" si="14"/>
        <v>'Distance':7.8</v>
      </c>
      <c r="H270" t="s">
        <v>121</v>
      </c>
    </row>
    <row r="271" spans="1:8" x14ac:dyDescent="0.25">
      <c r="A271" s="27">
        <v>12</v>
      </c>
      <c r="B271" s="27">
        <v>23</v>
      </c>
      <c r="C271">
        <v>11.5</v>
      </c>
      <c r="D271" t="s">
        <v>120</v>
      </c>
      <c r="E271" t="str">
        <f t="shared" si="12"/>
        <v>'AddressFrom':12</v>
      </c>
      <c r="F271" t="str">
        <f t="shared" si="13"/>
        <v>'AddressTo':23</v>
      </c>
      <c r="G271" t="str">
        <f t="shared" si="14"/>
        <v>'Distance':11.5</v>
      </c>
      <c r="H271" t="s">
        <v>121</v>
      </c>
    </row>
    <row r="272" spans="1:8" x14ac:dyDescent="0.25">
      <c r="A272" s="27">
        <v>12</v>
      </c>
      <c r="B272" s="27">
        <v>24</v>
      </c>
      <c r="C272">
        <v>9.5</v>
      </c>
      <c r="D272" t="s">
        <v>120</v>
      </c>
      <c r="E272" t="str">
        <f t="shared" si="12"/>
        <v>'AddressFrom':12</v>
      </c>
      <c r="F272" t="str">
        <f t="shared" si="13"/>
        <v>'AddressTo':24</v>
      </c>
      <c r="G272" t="str">
        <f t="shared" si="14"/>
        <v>'Distance':9.5</v>
      </c>
      <c r="H272" t="s">
        <v>121</v>
      </c>
    </row>
    <row r="273" spans="1:8" x14ac:dyDescent="0.25">
      <c r="A273" s="27">
        <v>12</v>
      </c>
      <c r="B273" s="27">
        <v>25</v>
      </c>
      <c r="C273">
        <v>2.8</v>
      </c>
      <c r="D273" t="s">
        <v>120</v>
      </c>
      <c r="E273" t="str">
        <f t="shared" si="12"/>
        <v>'AddressFrom':12</v>
      </c>
      <c r="F273" t="str">
        <f t="shared" si="13"/>
        <v>'AddressTo':25</v>
      </c>
      <c r="G273" t="str">
        <f t="shared" si="14"/>
        <v>'Distance':2.8</v>
      </c>
      <c r="H273" t="s">
        <v>121</v>
      </c>
    </row>
    <row r="274" spans="1:8" x14ac:dyDescent="0.25">
      <c r="A274" s="27">
        <v>12</v>
      </c>
      <c r="B274" s="27">
        <v>26</v>
      </c>
      <c r="C274">
        <v>14.1</v>
      </c>
      <c r="D274" t="s">
        <v>120</v>
      </c>
      <c r="E274" t="str">
        <f t="shared" si="12"/>
        <v>'AddressFrom':12</v>
      </c>
      <c r="F274" t="str">
        <f t="shared" si="13"/>
        <v>'AddressTo':26</v>
      </c>
      <c r="G274" t="str">
        <f t="shared" si="14"/>
        <v>'Distance':14.1</v>
      </c>
      <c r="H274" t="s">
        <v>121</v>
      </c>
    </row>
    <row r="275" spans="1:8" x14ac:dyDescent="0.25">
      <c r="A275" s="27">
        <v>13</v>
      </c>
      <c r="B275" s="27">
        <v>13</v>
      </c>
      <c r="C275">
        <v>0</v>
      </c>
      <c r="D275" t="s">
        <v>120</v>
      </c>
      <c r="E275" t="str">
        <f t="shared" si="12"/>
        <v>'AddressFrom':13</v>
      </c>
      <c r="F275" t="str">
        <f t="shared" si="13"/>
        <v>'AddressTo':13</v>
      </c>
      <c r="G275" t="str">
        <f t="shared" si="14"/>
        <v>'Distance':0</v>
      </c>
      <c r="H275" t="s">
        <v>121</v>
      </c>
    </row>
    <row r="276" spans="1:8" x14ac:dyDescent="0.25">
      <c r="A276" s="27">
        <v>13</v>
      </c>
      <c r="B276" s="27">
        <v>14</v>
      </c>
      <c r="C276">
        <v>1.3</v>
      </c>
      <c r="D276" t="s">
        <v>120</v>
      </c>
      <c r="E276" t="str">
        <f t="shared" si="12"/>
        <v>'AddressFrom':13</v>
      </c>
      <c r="F276" t="str">
        <f t="shared" si="13"/>
        <v>'AddressTo':14</v>
      </c>
      <c r="G276" t="str">
        <f t="shared" si="14"/>
        <v>'Distance':1.3</v>
      </c>
      <c r="H276" t="s">
        <v>121</v>
      </c>
    </row>
    <row r="277" spans="1:8" x14ac:dyDescent="0.25">
      <c r="A277" s="27">
        <v>13</v>
      </c>
      <c r="B277" s="27">
        <v>15</v>
      </c>
      <c r="C277">
        <v>1.5</v>
      </c>
      <c r="D277" t="s">
        <v>120</v>
      </c>
      <c r="E277" t="str">
        <f t="shared" si="12"/>
        <v>'AddressFrom':13</v>
      </c>
      <c r="F277" t="str">
        <f t="shared" si="13"/>
        <v>'AddressTo':15</v>
      </c>
      <c r="G277" t="str">
        <f t="shared" si="14"/>
        <v>'Distance':1.5</v>
      </c>
      <c r="H277" t="s">
        <v>121</v>
      </c>
    </row>
    <row r="278" spans="1:8" x14ac:dyDescent="0.25">
      <c r="A278" s="27">
        <v>13</v>
      </c>
      <c r="B278" s="27">
        <v>16</v>
      </c>
      <c r="C278">
        <v>4</v>
      </c>
      <c r="D278" t="s">
        <v>120</v>
      </c>
      <c r="E278" t="str">
        <f t="shared" si="12"/>
        <v>'AddressFrom':13</v>
      </c>
      <c r="F278" t="str">
        <f t="shared" si="13"/>
        <v>'AddressTo':16</v>
      </c>
      <c r="G278" t="str">
        <f t="shared" si="14"/>
        <v>'Distance':4</v>
      </c>
      <c r="H278" t="s">
        <v>121</v>
      </c>
    </row>
    <row r="279" spans="1:8" x14ac:dyDescent="0.25">
      <c r="A279" s="27">
        <v>13</v>
      </c>
      <c r="B279" s="27">
        <v>17</v>
      </c>
      <c r="C279">
        <v>3.2</v>
      </c>
      <c r="D279" t="s">
        <v>120</v>
      </c>
      <c r="E279" t="str">
        <f t="shared" si="12"/>
        <v>'AddressFrom':13</v>
      </c>
      <c r="F279" t="str">
        <f t="shared" si="13"/>
        <v>'AddressTo':17</v>
      </c>
      <c r="G279" t="str">
        <f t="shared" si="14"/>
        <v>'Distance':3.2</v>
      </c>
      <c r="H279" t="s">
        <v>121</v>
      </c>
    </row>
    <row r="280" spans="1:8" x14ac:dyDescent="0.25">
      <c r="A280" s="27">
        <v>13</v>
      </c>
      <c r="B280" s="27">
        <v>18</v>
      </c>
      <c r="C280">
        <v>3</v>
      </c>
      <c r="D280" t="s">
        <v>120</v>
      </c>
      <c r="E280" t="str">
        <f t="shared" si="12"/>
        <v>'AddressFrom':13</v>
      </c>
      <c r="F280" t="str">
        <f t="shared" si="13"/>
        <v>'AddressTo':18</v>
      </c>
      <c r="G280" t="str">
        <f t="shared" si="14"/>
        <v>'Distance':3</v>
      </c>
      <c r="H280" t="s">
        <v>121</v>
      </c>
    </row>
    <row r="281" spans="1:8" x14ac:dyDescent="0.25">
      <c r="A281" s="27">
        <v>13</v>
      </c>
      <c r="B281" s="27">
        <v>19</v>
      </c>
      <c r="C281">
        <v>6.9</v>
      </c>
      <c r="D281" t="s">
        <v>120</v>
      </c>
      <c r="E281" t="str">
        <f t="shared" si="12"/>
        <v>'AddressFrom':13</v>
      </c>
      <c r="F281" t="str">
        <f t="shared" si="13"/>
        <v>'AddressTo':19</v>
      </c>
      <c r="G281" t="str">
        <f t="shared" si="14"/>
        <v>'Distance':6.9</v>
      </c>
      <c r="H281" t="s">
        <v>121</v>
      </c>
    </row>
    <row r="282" spans="1:8" x14ac:dyDescent="0.25">
      <c r="A282" s="27">
        <v>13</v>
      </c>
      <c r="B282" s="27">
        <v>20</v>
      </c>
      <c r="C282">
        <v>6.2</v>
      </c>
      <c r="D282" t="s">
        <v>120</v>
      </c>
      <c r="E282" t="str">
        <f t="shared" si="12"/>
        <v>'AddressFrom':13</v>
      </c>
      <c r="F282" t="str">
        <f t="shared" si="13"/>
        <v>'AddressTo':20</v>
      </c>
      <c r="G282" t="str">
        <f t="shared" si="14"/>
        <v>'Distance':6.2</v>
      </c>
      <c r="H282" t="s">
        <v>121</v>
      </c>
    </row>
    <row r="283" spans="1:8" x14ac:dyDescent="0.25">
      <c r="A283" s="27">
        <v>13</v>
      </c>
      <c r="B283" s="27">
        <v>21</v>
      </c>
      <c r="C283">
        <v>8.1999999999999993</v>
      </c>
      <c r="D283" t="s">
        <v>120</v>
      </c>
      <c r="E283" t="str">
        <f t="shared" si="12"/>
        <v>'AddressFrom':13</v>
      </c>
      <c r="F283" t="str">
        <f t="shared" si="13"/>
        <v>'AddressTo':21</v>
      </c>
      <c r="G283" t="str">
        <f t="shared" si="14"/>
        <v>'Distance':8.2</v>
      </c>
      <c r="H283" t="s">
        <v>121</v>
      </c>
    </row>
    <row r="284" spans="1:8" x14ac:dyDescent="0.25">
      <c r="A284" s="27">
        <v>13</v>
      </c>
      <c r="B284" s="27">
        <v>22</v>
      </c>
      <c r="C284">
        <v>5.5</v>
      </c>
      <c r="D284" t="s">
        <v>120</v>
      </c>
      <c r="E284" t="str">
        <f t="shared" si="12"/>
        <v>'AddressFrom':13</v>
      </c>
      <c r="F284" t="str">
        <f t="shared" si="13"/>
        <v>'AddressTo':22</v>
      </c>
      <c r="G284" t="str">
        <f t="shared" si="14"/>
        <v>'Distance':5.5</v>
      </c>
      <c r="H284" t="s">
        <v>121</v>
      </c>
    </row>
    <row r="285" spans="1:8" x14ac:dyDescent="0.25">
      <c r="A285" s="27">
        <v>13</v>
      </c>
      <c r="B285" s="27">
        <v>23</v>
      </c>
      <c r="C285">
        <v>4.4000000000000004</v>
      </c>
      <c r="D285" t="s">
        <v>120</v>
      </c>
      <c r="E285" t="str">
        <f t="shared" si="12"/>
        <v>'AddressFrom':13</v>
      </c>
      <c r="F285" t="str">
        <f t="shared" si="13"/>
        <v>'AddressTo':23</v>
      </c>
      <c r="G285" t="str">
        <f t="shared" si="14"/>
        <v>'Distance':4.4</v>
      </c>
      <c r="H285" t="s">
        <v>121</v>
      </c>
    </row>
    <row r="286" spans="1:8" x14ac:dyDescent="0.25">
      <c r="A286" s="27">
        <v>13</v>
      </c>
      <c r="B286" s="27">
        <v>24</v>
      </c>
      <c r="C286">
        <v>7.2</v>
      </c>
      <c r="D286" t="s">
        <v>120</v>
      </c>
      <c r="E286" t="str">
        <f t="shared" si="12"/>
        <v>'AddressFrom':13</v>
      </c>
      <c r="F286" t="str">
        <f t="shared" si="13"/>
        <v>'AddressTo':24</v>
      </c>
      <c r="G286" t="str">
        <f t="shared" si="14"/>
        <v>'Distance':7.2</v>
      </c>
      <c r="H286" t="s">
        <v>121</v>
      </c>
    </row>
    <row r="287" spans="1:8" x14ac:dyDescent="0.25">
      <c r="A287" s="27">
        <v>13</v>
      </c>
      <c r="B287" s="27">
        <v>25</v>
      </c>
      <c r="C287">
        <v>6.4</v>
      </c>
      <c r="D287" t="s">
        <v>120</v>
      </c>
      <c r="E287" t="str">
        <f t="shared" si="12"/>
        <v>'AddressFrom':13</v>
      </c>
      <c r="F287" t="str">
        <f t="shared" si="13"/>
        <v>'AddressTo':25</v>
      </c>
      <c r="G287" t="str">
        <f t="shared" si="14"/>
        <v>'Distance':6.4</v>
      </c>
      <c r="H287" t="s">
        <v>121</v>
      </c>
    </row>
    <row r="288" spans="1:8" x14ac:dyDescent="0.25">
      <c r="A288" s="27">
        <v>13</v>
      </c>
      <c r="B288" s="27">
        <v>26</v>
      </c>
      <c r="C288">
        <v>10.5</v>
      </c>
      <c r="D288" t="s">
        <v>120</v>
      </c>
      <c r="E288" t="str">
        <f t="shared" si="12"/>
        <v>'AddressFrom':13</v>
      </c>
      <c r="F288" t="str">
        <f t="shared" si="13"/>
        <v>'AddressTo':26</v>
      </c>
      <c r="G288" t="str">
        <f t="shared" si="14"/>
        <v>'Distance':10.5</v>
      </c>
      <c r="H288" t="s">
        <v>121</v>
      </c>
    </row>
    <row r="289" spans="1:8" x14ac:dyDescent="0.25">
      <c r="A289" s="27">
        <v>14</v>
      </c>
      <c r="B289" s="27">
        <v>14</v>
      </c>
      <c r="C289">
        <v>0</v>
      </c>
      <c r="D289" t="s">
        <v>120</v>
      </c>
      <c r="E289" t="str">
        <f t="shared" si="12"/>
        <v>'AddressFrom':14</v>
      </c>
      <c r="F289" t="str">
        <f t="shared" si="13"/>
        <v>'AddressTo':14</v>
      </c>
      <c r="G289" t="str">
        <f t="shared" si="14"/>
        <v>'Distance':0</v>
      </c>
      <c r="H289" t="s">
        <v>121</v>
      </c>
    </row>
    <row r="290" spans="1:8" x14ac:dyDescent="0.25">
      <c r="A290" s="27">
        <v>14</v>
      </c>
      <c r="B290" s="27">
        <v>15</v>
      </c>
      <c r="C290">
        <v>0.6</v>
      </c>
      <c r="D290" t="s">
        <v>120</v>
      </c>
      <c r="E290" t="str">
        <f t="shared" si="12"/>
        <v>'AddressFrom':14</v>
      </c>
      <c r="F290" t="str">
        <f t="shared" si="13"/>
        <v>'AddressTo':15</v>
      </c>
      <c r="G290" t="str">
        <f t="shared" si="14"/>
        <v>'Distance':0.6</v>
      </c>
      <c r="H290" t="s">
        <v>121</v>
      </c>
    </row>
    <row r="291" spans="1:8" x14ac:dyDescent="0.25">
      <c r="A291" s="27">
        <v>14</v>
      </c>
      <c r="B291" s="27">
        <v>16</v>
      </c>
      <c r="C291">
        <v>6.4</v>
      </c>
      <c r="D291" t="s">
        <v>120</v>
      </c>
      <c r="E291" t="str">
        <f t="shared" si="12"/>
        <v>'AddressFrom':14</v>
      </c>
      <c r="F291" t="str">
        <f t="shared" si="13"/>
        <v>'AddressTo':16</v>
      </c>
      <c r="G291" t="str">
        <f t="shared" si="14"/>
        <v>'Distance':6.4</v>
      </c>
      <c r="H291" t="s">
        <v>121</v>
      </c>
    </row>
    <row r="292" spans="1:8" x14ac:dyDescent="0.25">
      <c r="A292" s="27">
        <v>14</v>
      </c>
      <c r="B292" s="27">
        <v>17</v>
      </c>
      <c r="C292">
        <v>2.4</v>
      </c>
      <c r="D292" t="s">
        <v>120</v>
      </c>
      <c r="E292" t="str">
        <f t="shared" si="12"/>
        <v>'AddressFrom':14</v>
      </c>
      <c r="F292" t="str">
        <f t="shared" si="13"/>
        <v>'AddressTo':17</v>
      </c>
      <c r="G292" t="str">
        <f t="shared" si="14"/>
        <v>'Distance':2.4</v>
      </c>
      <c r="H292" t="s">
        <v>121</v>
      </c>
    </row>
    <row r="293" spans="1:8" x14ac:dyDescent="0.25">
      <c r="A293" s="27">
        <v>14</v>
      </c>
      <c r="B293" s="27">
        <v>18</v>
      </c>
      <c r="C293">
        <v>2.2000000000000002</v>
      </c>
      <c r="D293" t="s">
        <v>120</v>
      </c>
      <c r="E293" t="str">
        <f t="shared" si="12"/>
        <v>'AddressFrom':14</v>
      </c>
      <c r="F293" t="str">
        <f t="shared" si="13"/>
        <v>'AddressTo':18</v>
      </c>
      <c r="G293" t="str">
        <f t="shared" si="14"/>
        <v>'Distance':2.2</v>
      </c>
      <c r="H293" t="s">
        <v>121</v>
      </c>
    </row>
    <row r="294" spans="1:8" x14ac:dyDescent="0.25">
      <c r="A294" s="27">
        <v>14</v>
      </c>
      <c r="B294" s="27">
        <v>19</v>
      </c>
      <c r="C294">
        <v>6.8</v>
      </c>
      <c r="D294" t="s">
        <v>120</v>
      </c>
      <c r="E294" t="str">
        <f t="shared" si="12"/>
        <v>'AddressFrom':14</v>
      </c>
      <c r="F294" t="str">
        <f t="shared" si="13"/>
        <v>'AddressTo':19</v>
      </c>
      <c r="G294" t="str">
        <f t="shared" si="14"/>
        <v>'Distance':6.8</v>
      </c>
      <c r="H294" t="s">
        <v>121</v>
      </c>
    </row>
    <row r="295" spans="1:8" x14ac:dyDescent="0.25">
      <c r="A295" s="27">
        <v>14</v>
      </c>
      <c r="B295" s="27">
        <v>20</v>
      </c>
      <c r="C295">
        <v>5.3</v>
      </c>
      <c r="D295" t="s">
        <v>120</v>
      </c>
      <c r="E295" t="str">
        <f t="shared" si="12"/>
        <v>'AddressFrom':14</v>
      </c>
      <c r="F295" t="str">
        <f t="shared" si="13"/>
        <v>'AddressTo':20</v>
      </c>
      <c r="G295" t="str">
        <f t="shared" si="14"/>
        <v>'Distance':5.3</v>
      </c>
      <c r="H295" t="s">
        <v>121</v>
      </c>
    </row>
    <row r="296" spans="1:8" x14ac:dyDescent="0.25">
      <c r="A296" s="27">
        <v>14</v>
      </c>
      <c r="B296" s="27">
        <v>21</v>
      </c>
      <c r="C296">
        <v>7.4</v>
      </c>
      <c r="D296" t="s">
        <v>120</v>
      </c>
      <c r="E296" t="str">
        <f t="shared" si="12"/>
        <v>'AddressFrom':14</v>
      </c>
      <c r="F296" t="str">
        <f t="shared" si="13"/>
        <v>'AddressTo':21</v>
      </c>
      <c r="G296" t="str">
        <f t="shared" si="14"/>
        <v>'Distance':7.4</v>
      </c>
      <c r="H296" t="s">
        <v>121</v>
      </c>
    </row>
    <row r="297" spans="1:8" x14ac:dyDescent="0.25">
      <c r="A297" s="27">
        <v>14</v>
      </c>
      <c r="B297" s="27">
        <v>22</v>
      </c>
      <c r="C297">
        <v>4.5999999999999996</v>
      </c>
      <c r="D297" t="s">
        <v>120</v>
      </c>
      <c r="E297" t="str">
        <f t="shared" si="12"/>
        <v>'AddressFrom':14</v>
      </c>
      <c r="F297" t="str">
        <f t="shared" si="13"/>
        <v>'AddressTo':22</v>
      </c>
      <c r="G297" t="str">
        <f t="shared" si="14"/>
        <v>'Distance':4.6</v>
      </c>
      <c r="H297" t="s">
        <v>121</v>
      </c>
    </row>
    <row r="298" spans="1:8" x14ac:dyDescent="0.25">
      <c r="A298" s="27">
        <v>14</v>
      </c>
      <c r="B298" s="27">
        <v>23</v>
      </c>
      <c r="C298">
        <v>4.8</v>
      </c>
      <c r="D298" t="s">
        <v>120</v>
      </c>
      <c r="E298" t="str">
        <f t="shared" si="12"/>
        <v>'AddressFrom':14</v>
      </c>
      <c r="F298" t="str">
        <f t="shared" si="13"/>
        <v>'AddressTo':23</v>
      </c>
      <c r="G298" t="str">
        <f t="shared" si="14"/>
        <v>'Distance':4.8</v>
      </c>
      <c r="H298" t="s">
        <v>121</v>
      </c>
    </row>
    <row r="299" spans="1:8" x14ac:dyDescent="0.25">
      <c r="A299" s="27">
        <v>14</v>
      </c>
      <c r="B299" s="27">
        <v>24</v>
      </c>
      <c r="C299">
        <v>6.3</v>
      </c>
      <c r="D299" t="s">
        <v>120</v>
      </c>
      <c r="E299" t="str">
        <f t="shared" si="12"/>
        <v>'AddressFrom':14</v>
      </c>
      <c r="F299" t="str">
        <f t="shared" si="13"/>
        <v>'AddressTo':24</v>
      </c>
      <c r="G299" t="str">
        <f t="shared" si="14"/>
        <v>'Distance':6.3</v>
      </c>
      <c r="H299" t="s">
        <v>121</v>
      </c>
    </row>
    <row r="300" spans="1:8" x14ac:dyDescent="0.25">
      <c r="A300" s="27">
        <v>14</v>
      </c>
      <c r="B300" s="27">
        <v>25</v>
      </c>
      <c r="C300">
        <v>6.5</v>
      </c>
      <c r="D300" t="s">
        <v>120</v>
      </c>
      <c r="E300" t="str">
        <f t="shared" si="12"/>
        <v>'AddressFrom':14</v>
      </c>
      <c r="F300" t="str">
        <f t="shared" si="13"/>
        <v>'AddressTo':25</v>
      </c>
      <c r="G300" t="str">
        <f t="shared" si="14"/>
        <v>'Distance':6.5</v>
      </c>
      <c r="H300" t="s">
        <v>121</v>
      </c>
    </row>
    <row r="301" spans="1:8" x14ac:dyDescent="0.25">
      <c r="A301" s="27">
        <v>14</v>
      </c>
      <c r="B301" s="27">
        <v>26</v>
      </c>
      <c r="C301">
        <v>8.8000000000000007</v>
      </c>
      <c r="D301" t="s">
        <v>120</v>
      </c>
      <c r="E301" t="str">
        <f t="shared" si="12"/>
        <v>'AddressFrom':14</v>
      </c>
      <c r="F301" t="str">
        <f t="shared" si="13"/>
        <v>'AddressTo':26</v>
      </c>
      <c r="G301" t="str">
        <f t="shared" si="14"/>
        <v>'Distance':8.8</v>
      </c>
      <c r="H301" t="s">
        <v>121</v>
      </c>
    </row>
    <row r="302" spans="1:8" x14ac:dyDescent="0.25">
      <c r="A302" s="27">
        <v>15</v>
      </c>
      <c r="B302" s="27">
        <v>15</v>
      </c>
      <c r="C302">
        <v>0</v>
      </c>
      <c r="D302" t="s">
        <v>120</v>
      </c>
      <c r="E302" t="str">
        <f t="shared" si="12"/>
        <v>'AddressFrom':15</v>
      </c>
      <c r="F302" t="str">
        <f t="shared" si="13"/>
        <v>'AddressTo':15</v>
      </c>
      <c r="G302" t="str">
        <f t="shared" si="14"/>
        <v>'Distance':0</v>
      </c>
      <c r="H302" t="s">
        <v>121</v>
      </c>
    </row>
    <row r="303" spans="1:8" x14ac:dyDescent="0.25">
      <c r="A303" s="27">
        <v>15</v>
      </c>
      <c r="B303" s="27">
        <v>16</v>
      </c>
      <c r="C303">
        <v>5.6</v>
      </c>
      <c r="D303" t="s">
        <v>120</v>
      </c>
      <c r="E303" t="str">
        <f t="shared" si="12"/>
        <v>'AddressFrom':15</v>
      </c>
      <c r="F303" t="str">
        <f t="shared" si="13"/>
        <v>'AddressTo':16</v>
      </c>
      <c r="G303" t="str">
        <f t="shared" si="14"/>
        <v>'Distance':5.6</v>
      </c>
      <c r="H303" t="s">
        <v>121</v>
      </c>
    </row>
    <row r="304" spans="1:8" x14ac:dyDescent="0.25">
      <c r="A304" s="27">
        <v>15</v>
      </c>
      <c r="B304" s="27">
        <v>17</v>
      </c>
      <c r="C304">
        <v>1.6</v>
      </c>
      <c r="D304" t="s">
        <v>120</v>
      </c>
      <c r="E304" t="str">
        <f t="shared" si="12"/>
        <v>'AddressFrom':15</v>
      </c>
      <c r="F304" t="str">
        <f t="shared" si="13"/>
        <v>'AddressTo':17</v>
      </c>
      <c r="G304" t="str">
        <f t="shared" si="14"/>
        <v>'Distance':1.6</v>
      </c>
      <c r="H304" t="s">
        <v>121</v>
      </c>
    </row>
    <row r="305" spans="1:8" x14ac:dyDescent="0.25">
      <c r="A305" s="27">
        <v>15</v>
      </c>
      <c r="B305" s="27">
        <v>18</v>
      </c>
      <c r="C305">
        <v>1.7</v>
      </c>
      <c r="D305" t="s">
        <v>120</v>
      </c>
      <c r="E305" t="str">
        <f t="shared" si="12"/>
        <v>'AddressFrom':15</v>
      </c>
      <c r="F305" t="str">
        <f t="shared" si="13"/>
        <v>'AddressTo':18</v>
      </c>
      <c r="G305" t="str">
        <f t="shared" si="14"/>
        <v>'Distance':1.7</v>
      </c>
      <c r="H305" t="s">
        <v>121</v>
      </c>
    </row>
    <row r="306" spans="1:8" x14ac:dyDescent="0.25">
      <c r="A306" s="27">
        <v>15</v>
      </c>
      <c r="B306" s="27">
        <v>19</v>
      </c>
      <c r="C306">
        <v>6.4</v>
      </c>
      <c r="D306" t="s">
        <v>120</v>
      </c>
      <c r="E306" t="str">
        <f t="shared" si="12"/>
        <v>'AddressFrom':15</v>
      </c>
      <c r="F306" t="str">
        <f t="shared" si="13"/>
        <v>'AddressTo':19</v>
      </c>
      <c r="G306" t="str">
        <f t="shared" si="14"/>
        <v>'Distance':6.4</v>
      </c>
      <c r="H306" t="s">
        <v>121</v>
      </c>
    </row>
    <row r="307" spans="1:8" x14ac:dyDescent="0.25">
      <c r="A307" s="27">
        <v>15</v>
      </c>
      <c r="B307" s="27">
        <v>20</v>
      </c>
      <c r="C307">
        <v>4.9000000000000004</v>
      </c>
      <c r="D307" t="s">
        <v>120</v>
      </c>
      <c r="E307" t="str">
        <f t="shared" si="12"/>
        <v>'AddressFrom':15</v>
      </c>
      <c r="F307" t="str">
        <f t="shared" si="13"/>
        <v>'AddressTo':20</v>
      </c>
      <c r="G307" t="str">
        <f t="shared" si="14"/>
        <v>'Distance':4.9</v>
      </c>
      <c r="H307" t="s">
        <v>121</v>
      </c>
    </row>
    <row r="308" spans="1:8" x14ac:dyDescent="0.25">
      <c r="A308" s="27">
        <v>15</v>
      </c>
      <c r="B308" s="27">
        <v>21</v>
      </c>
      <c r="C308">
        <v>6.9</v>
      </c>
      <c r="D308" t="s">
        <v>120</v>
      </c>
      <c r="E308" t="str">
        <f t="shared" si="12"/>
        <v>'AddressFrom':15</v>
      </c>
      <c r="F308" t="str">
        <f t="shared" si="13"/>
        <v>'AddressTo':21</v>
      </c>
      <c r="G308" t="str">
        <f t="shared" si="14"/>
        <v>'Distance':6.9</v>
      </c>
      <c r="H308" t="s">
        <v>121</v>
      </c>
    </row>
    <row r="309" spans="1:8" x14ac:dyDescent="0.25">
      <c r="A309" s="27">
        <v>15</v>
      </c>
      <c r="B309" s="27">
        <v>22</v>
      </c>
      <c r="C309">
        <v>4.2</v>
      </c>
      <c r="D309" t="s">
        <v>120</v>
      </c>
      <c r="E309" t="str">
        <f t="shared" si="12"/>
        <v>'AddressFrom':15</v>
      </c>
      <c r="F309" t="str">
        <f t="shared" si="13"/>
        <v>'AddressTo':22</v>
      </c>
      <c r="G309" t="str">
        <f t="shared" si="14"/>
        <v>'Distance':4.2</v>
      </c>
      <c r="H309" t="s">
        <v>121</v>
      </c>
    </row>
    <row r="310" spans="1:8" x14ac:dyDescent="0.25">
      <c r="A310" s="27">
        <v>15</v>
      </c>
      <c r="B310" s="27">
        <v>23</v>
      </c>
      <c r="C310">
        <v>5.6</v>
      </c>
      <c r="D310" t="s">
        <v>120</v>
      </c>
      <c r="E310" t="str">
        <f t="shared" si="12"/>
        <v>'AddressFrom':15</v>
      </c>
      <c r="F310" t="str">
        <f t="shared" si="13"/>
        <v>'AddressTo':23</v>
      </c>
      <c r="G310" t="str">
        <f t="shared" si="14"/>
        <v>'Distance':5.6</v>
      </c>
      <c r="H310" t="s">
        <v>121</v>
      </c>
    </row>
    <row r="311" spans="1:8" x14ac:dyDescent="0.25">
      <c r="A311" s="27">
        <v>15</v>
      </c>
      <c r="B311" s="27">
        <v>24</v>
      </c>
      <c r="C311">
        <v>5.9</v>
      </c>
      <c r="D311" t="s">
        <v>120</v>
      </c>
      <c r="E311" t="str">
        <f t="shared" si="12"/>
        <v>'AddressFrom':15</v>
      </c>
      <c r="F311" t="str">
        <f t="shared" si="13"/>
        <v>'AddressTo':24</v>
      </c>
      <c r="G311" t="str">
        <f t="shared" si="14"/>
        <v>'Distance':5.9</v>
      </c>
      <c r="H311" t="s">
        <v>121</v>
      </c>
    </row>
    <row r="312" spans="1:8" x14ac:dyDescent="0.25">
      <c r="A312" s="27">
        <v>15</v>
      </c>
      <c r="B312" s="27">
        <v>25</v>
      </c>
      <c r="C312">
        <v>5.7</v>
      </c>
      <c r="D312" t="s">
        <v>120</v>
      </c>
      <c r="E312" t="str">
        <f t="shared" si="12"/>
        <v>'AddressFrom':15</v>
      </c>
      <c r="F312" t="str">
        <f t="shared" si="13"/>
        <v>'AddressTo':25</v>
      </c>
      <c r="G312" t="str">
        <f t="shared" si="14"/>
        <v>'Distance':5.7</v>
      </c>
      <c r="H312" t="s">
        <v>121</v>
      </c>
    </row>
    <row r="313" spans="1:8" x14ac:dyDescent="0.25">
      <c r="A313" s="27">
        <v>15</v>
      </c>
      <c r="B313" s="27">
        <v>26</v>
      </c>
      <c r="C313">
        <v>8.4</v>
      </c>
      <c r="D313" t="s">
        <v>120</v>
      </c>
      <c r="E313" t="str">
        <f t="shared" si="12"/>
        <v>'AddressFrom':15</v>
      </c>
      <c r="F313" t="str">
        <f t="shared" si="13"/>
        <v>'AddressTo':26</v>
      </c>
      <c r="G313" t="str">
        <f t="shared" si="14"/>
        <v>'Distance':8.4</v>
      </c>
      <c r="H313" t="s">
        <v>121</v>
      </c>
    </row>
    <row r="314" spans="1:8" x14ac:dyDescent="0.25">
      <c r="A314" s="27">
        <v>16</v>
      </c>
      <c r="B314" s="27">
        <v>16</v>
      </c>
      <c r="C314">
        <v>0</v>
      </c>
      <c r="D314" t="s">
        <v>120</v>
      </c>
      <c r="E314" t="str">
        <f t="shared" si="12"/>
        <v>'AddressFrom':16</v>
      </c>
      <c r="F314" t="str">
        <f t="shared" si="13"/>
        <v>'AddressTo':16</v>
      </c>
      <c r="G314" t="str">
        <f t="shared" si="14"/>
        <v>'Distance':0</v>
      </c>
      <c r="H314" t="s">
        <v>121</v>
      </c>
    </row>
    <row r="315" spans="1:8" x14ac:dyDescent="0.25">
      <c r="A315" s="27">
        <v>16</v>
      </c>
      <c r="B315" s="27">
        <v>17</v>
      </c>
      <c r="C315">
        <v>7.1</v>
      </c>
      <c r="D315" t="s">
        <v>120</v>
      </c>
      <c r="E315" t="str">
        <f t="shared" si="12"/>
        <v>'AddressFrom':16</v>
      </c>
      <c r="F315" t="str">
        <f t="shared" si="13"/>
        <v>'AddressTo':17</v>
      </c>
      <c r="G315" t="str">
        <f t="shared" si="14"/>
        <v>'Distance':7.1</v>
      </c>
      <c r="H315" t="s">
        <v>121</v>
      </c>
    </row>
    <row r="316" spans="1:8" x14ac:dyDescent="0.25">
      <c r="A316" s="27">
        <v>16</v>
      </c>
      <c r="B316" s="27">
        <v>18</v>
      </c>
      <c r="C316">
        <v>6.1</v>
      </c>
      <c r="D316" t="s">
        <v>120</v>
      </c>
      <c r="E316" t="str">
        <f t="shared" si="12"/>
        <v>'AddressFrom':16</v>
      </c>
      <c r="F316" t="str">
        <f t="shared" si="13"/>
        <v>'AddressTo':18</v>
      </c>
      <c r="G316" t="str">
        <f t="shared" si="14"/>
        <v>'Distance':6.1</v>
      </c>
      <c r="H316" t="s">
        <v>121</v>
      </c>
    </row>
    <row r="317" spans="1:8" x14ac:dyDescent="0.25">
      <c r="A317" s="27">
        <v>16</v>
      </c>
      <c r="B317" s="27">
        <v>19</v>
      </c>
      <c r="C317">
        <v>7.2</v>
      </c>
      <c r="D317" t="s">
        <v>120</v>
      </c>
      <c r="E317" t="str">
        <f t="shared" si="12"/>
        <v>'AddressFrom':16</v>
      </c>
      <c r="F317" t="str">
        <f t="shared" si="13"/>
        <v>'AddressTo':19</v>
      </c>
      <c r="G317" t="str">
        <f t="shared" si="14"/>
        <v>'Distance':7.2</v>
      </c>
      <c r="H317" t="s">
        <v>121</v>
      </c>
    </row>
    <row r="318" spans="1:8" x14ac:dyDescent="0.25">
      <c r="A318" s="27">
        <v>16</v>
      </c>
      <c r="B318" s="27">
        <v>20</v>
      </c>
      <c r="C318">
        <v>10.6</v>
      </c>
      <c r="D318" t="s">
        <v>120</v>
      </c>
      <c r="E318" t="str">
        <f t="shared" si="12"/>
        <v>'AddressFrom':16</v>
      </c>
      <c r="F318" t="str">
        <f t="shared" si="13"/>
        <v>'AddressTo':20</v>
      </c>
      <c r="G318" t="str">
        <f t="shared" si="14"/>
        <v>'Distance':10.6</v>
      </c>
      <c r="H318" t="s">
        <v>121</v>
      </c>
    </row>
    <row r="319" spans="1:8" x14ac:dyDescent="0.25">
      <c r="A319" s="27">
        <v>16</v>
      </c>
      <c r="B319" s="27">
        <v>21</v>
      </c>
      <c r="C319">
        <v>12</v>
      </c>
      <c r="D319" t="s">
        <v>120</v>
      </c>
      <c r="E319" t="str">
        <f t="shared" si="12"/>
        <v>'AddressFrom':16</v>
      </c>
      <c r="F319" t="str">
        <f t="shared" si="13"/>
        <v>'AddressTo':21</v>
      </c>
      <c r="G319" t="str">
        <f t="shared" si="14"/>
        <v>'Distance':12</v>
      </c>
      <c r="H319" t="s">
        <v>121</v>
      </c>
    </row>
    <row r="320" spans="1:8" x14ac:dyDescent="0.25">
      <c r="A320" s="27">
        <v>16</v>
      </c>
      <c r="B320" s="27">
        <v>22</v>
      </c>
      <c r="C320">
        <v>9.4</v>
      </c>
      <c r="D320" t="s">
        <v>120</v>
      </c>
      <c r="E320" t="str">
        <f t="shared" si="12"/>
        <v>'AddressFrom':16</v>
      </c>
      <c r="F320" t="str">
        <f t="shared" si="13"/>
        <v>'AddressTo':22</v>
      </c>
      <c r="G320" t="str">
        <f t="shared" si="14"/>
        <v>'Distance':9.4</v>
      </c>
      <c r="H320" t="s">
        <v>121</v>
      </c>
    </row>
    <row r="321" spans="1:8" x14ac:dyDescent="0.25">
      <c r="A321" s="27">
        <v>16</v>
      </c>
      <c r="B321" s="27">
        <v>23</v>
      </c>
      <c r="C321">
        <v>7.5</v>
      </c>
      <c r="D321" t="s">
        <v>120</v>
      </c>
      <c r="E321" t="str">
        <f t="shared" si="12"/>
        <v>'AddressFrom':16</v>
      </c>
      <c r="F321" t="str">
        <f t="shared" si="13"/>
        <v>'AddressTo':23</v>
      </c>
      <c r="G321" t="str">
        <f t="shared" si="14"/>
        <v>'Distance':7.5</v>
      </c>
      <c r="H321" t="s">
        <v>121</v>
      </c>
    </row>
    <row r="322" spans="1:8" x14ac:dyDescent="0.25">
      <c r="A322" s="27">
        <v>16</v>
      </c>
      <c r="B322" s="27">
        <v>24</v>
      </c>
      <c r="C322">
        <v>11.1</v>
      </c>
      <c r="D322" t="s">
        <v>120</v>
      </c>
      <c r="E322" t="str">
        <f t="shared" si="12"/>
        <v>'AddressFrom':16</v>
      </c>
      <c r="F322" t="str">
        <f t="shared" si="13"/>
        <v>'AddressTo':24</v>
      </c>
      <c r="G322" t="str">
        <f t="shared" si="14"/>
        <v>'Distance':11.1</v>
      </c>
      <c r="H322" t="s">
        <v>121</v>
      </c>
    </row>
    <row r="323" spans="1:8" x14ac:dyDescent="0.25">
      <c r="A323" s="27">
        <v>16</v>
      </c>
      <c r="B323" s="27">
        <v>25</v>
      </c>
      <c r="C323">
        <v>6.2</v>
      </c>
      <c r="D323" t="s">
        <v>120</v>
      </c>
      <c r="E323" t="str">
        <f t="shared" ref="E323:E379" si="15">"'AddressFrom':" &amp; A323</f>
        <v>'AddressFrom':16</v>
      </c>
      <c r="F323" t="str">
        <f t="shared" ref="F323:F379" si="16">"'AddressTo':" &amp; B323</f>
        <v>'AddressTo':25</v>
      </c>
      <c r="G323" t="str">
        <f t="shared" ref="G323:G379" si="17">"'Distance':" &amp; C323</f>
        <v>'Distance':6.2</v>
      </c>
      <c r="H323" t="s">
        <v>121</v>
      </c>
    </row>
    <row r="324" spans="1:8" x14ac:dyDescent="0.25">
      <c r="A324" s="27">
        <v>16</v>
      </c>
      <c r="B324" s="27">
        <v>26</v>
      </c>
      <c r="C324">
        <v>13.6</v>
      </c>
      <c r="D324" t="s">
        <v>120</v>
      </c>
      <c r="E324" t="str">
        <f t="shared" si="15"/>
        <v>'AddressFrom':16</v>
      </c>
      <c r="F324" t="str">
        <f t="shared" si="16"/>
        <v>'AddressTo':26</v>
      </c>
      <c r="G324" t="str">
        <f t="shared" si="17"/>
        <v>'Distance':13.6</v>
      </c>
      <c r="H324" t="s">
        <v>121</v>
      </c>
    </row>
    <row r="325" spans="1:8" x14ac:dyDescent="0.25">
      <c r="A325" s="27">
        <v>17</v>
      </c>
      <c r="B325" s="27">
        <v>17</v>
      </c>
      <c r="C325">
        <v>0</v>
      </c>
      <c r="D325" t="s">
        <v>120</v>
      </c>
      <c r="E325" t="str">
        <f t="shared" si="15"/>
        <v>'AddressFrom':17</v>
      </c>
      <c r="F325" t="str">
        <f t="shared" si="16"/>
        <v>'AddressTo':17</v>
      </c>
      <c r="G325" t="str">
        <f t="shared" si="17"/>
        <v>'Distance':0</v>
      </c>
      <c r="H325" t="s">
        <v>121</v>
      </c>
    </row>
    <row r="326" spans="1:8" x14ac:dyDescent="0.25">
      <c r="A326" s="27">
        <v>17</v>
      </c>
      <c r="B326" s="27">
        <v>18</v>
      </c>
      <c r="C326">
        <v>1.6</v>
      </c>
      <c r="D326" t="s">
        <v>120</v>
      </c>
      <c r="E326" t="str">
        <f t="shared" si="15"/>
        <v>'AddressFrom':17</v>
      </c>
      <c r="F326" t="str">
        <f t="shared" si="16"/>
        <v>'AddressTo':18</v>
      </c>
      <c r="G326" t="str">
        <f t="shared" si="17"/>
        <v>'Distance':1.6</v>
      </c>
      <c r="H326" t="s">
        <v>121</v>
      </c>
    </row>
    <row r="327" spans="1:8" x14ac:dyDescent="0.25">
      <c r="A327" s="27">
        <v>17</v>
      </c>
      <c r="B327" s="27">
        <v>19</v>
      </c>
      <c r="C327">
        <v>4.9000000000000004</v>
      </c>
      <c r="D327" t="s">
        <v>120</v>
      </c>
      <c r="E327" t="str">
        <f t="shared" si="15"/>
        <v>'AddressFrom':17</v>
      </c>
      <c r="F327" t="str">
        <f t="shared" si="16"/>
        <v>'AddressTo':19</v>
      </c>
      <c r="G327" t="str">
        <f t="shared" si="17"/>
        <v>'Distance':4.9</v>
      </c>
      <c r="H327" t="s">
        <v>121</v>
      </c>
    </row>
    <row r="328" spans="1:8" x14ac:dyDescent="0.25">
      <c r="A328" s="27">
        <v>17</v>
      </c>
      <c r="B328" s="27">
        <v>20</v>
      </c>
      <c r="C328">
        <v>3</v>
      </c>
      <c r="D328" t="s">
        <v>120</v>
      </c>
      <c r="E328" t="str">
        <f t="shared" si="15"/>
        <v>'AddressFrom':17</v>
      </c>
      <c r="F328" t="str">
        <f t="shared" si="16"/>
        <v>'AddressTo':20</v>
      </c>
      <c r="G328" t="str">
        <f t="shared" si="17"/>
        <v>'Distance':3</v>
      </c>
      <c r="H328" t="s">
        <v>121</v>
      </c>
    </row>
    <row r="329" spans="1:8" x14ac:dyDescent="0.25">
      <c r="A329" s="27">
        <v>17</v>
      </c>
      <c r="B329" s="27">
        <v>21</v>
      </c>
      <c r="C329">
        <v>5</v>
      </c>
      <c r="D329" t="s">
        <v>120</v>
      </c>
      <c r="E329" t="str">
        <f t="shared" si="15"/>
        <v>'AddressFrom':17</v>
      </c>
      <c r="F329" t="str">
        <f t="shared" si="16"/>
        <v>'AddressTo':21</v>
      </c>
      <c r="G329" t="str">
        <f t="shared" si="17"/>
        <v>'Distance':5</v>
      </c>
      <c r="H329" t="s">
        <v>121</v>
      </c>
    </row>
    <row r="330" spans="1:8" x14ac:dyDescent="0.25">
      <c r="A330" s="27">
        <v>17</v>
      </c>
      <c r="B330" s="27">
        <v>22</v>
      </c>
      <c r="C330">
        <v>2.2999999999999998</v>
      </c>
      <c r="D330" t="s">
        <v>120</v>
      </c>
      <c r="E330" t="str">
        <f t="shared" si="15"/>
        <v>'AddressFrom':17</v>
      </c>
      <c r="F330" t="str">
        <f t="shared" si="16"/>
        <v>'AddressTo':22</v>
      </c>
      <c r="G330" t="str">
        <f t="shared" si="17"/>
        <v>'Distance':2.3</v>
      </c>
      <c r="H330" t="s">
        <v>121</v>
      </c>
    </row>
    <row r="331" spans="1:8" x14ac:dyDescent="0.25">
      <c r="A331" s="27">
        <v>17</v>
      </c>
      <c r="B331" s="27">
        <v>23</v>
      </c>
      <c r="C331">
        <v>5.5</v>
      </c>
      <c r="D331" t="s">
        <v>120</v>
      </c>
      <c r="E331" t="str">
        <f t="shared" si="15"/>
        <v>'AddressFrom':17</v>
      </c>
      <c r="F331" t="str">
        <f t="shared" si="16"/>
        <v>'AddressTo':23</v>
      </c>
      <c r="G331" t="str">
        <f t="shared" si="17"/>
        <v>'Distance':5.5</v>
      </c>
      <c r="H331" t="s">
        <v>121</v>
      </c>
    </row>
    <row r="332" spans="1:8" x14ac:dyDescent="0.25">
      <c r="A332" s="27">
        <v>17</v>
      </c>
      <c r="B332" s="27">
        <v>24</v>
      </c>
      <c r="C332">
        <v>4</v>
      </c>
      <c r="D332" t="s">
        <v>120</v>
      </c>
      <c r="E332" t="str">
        <f t="shared" si="15"/>
        <v>'AddressFrom':17</v>
      </c>
      <c r="F332" t="str">
        <f t="shared" si="16"/>
        <v>'AddressTo':24</v>
      </c>
      <c r="G332" t="str">
        <f t="shared" si="17"/>
        <v>'Distance':4</v>
      </c>
      <c r="H332" t="s">
        <v>121</v>
      </c>
    </row>
    <row r="333" spans="1:8" x14ac:dyDescent="0.25">
      <c r="A333" s="27">
        <v>17</v>
      </c>
      <c r="B333" s="27">
        <v>25</v>
      </c>
      <c r="C333">
        <v>5.0999999999999996</v>
      </c>
      <c r="D333" t="s">
        <v>120</v>
      </c>
      <c r="E333" t="str">
        <f t="shared" si="15"/>
        <v>'AddressFrom':17</v>
      </c>
      <c r="F333" t="str">
        <f t="shared" si="16"/>
        <v>'AddressTo':25</v>
      </c>
      <c r="G333" t="str">
        <f t="shared" si="17"/>
        <v>'Distance':5.1</v>
      </c>
      <c r="H333" t="s">
        <v>121</v>
      </c>
    </row>
    <row r="334" spans="1:8" x14ac:dyDescent="0.25">
      <c r="A334" s="27">
        <v>17</v>
      </c>
      <c r="B334" s="27">
        <v>26</v>
      </c>
      <c r="C334">
        <v>5.2</v>
      </c>
      <c r="D334" t="s">
        <v>120</v>
      </c>
      <c r="E334" t="str">
        <f t="shared" si="15"/>
        <v>'AddressFrom':17</v>
      </c>
      <c r="F334" t="str">
        <f t="shared" si="16"/>
        <v>'AddressTo':26</v>
      </c>
      <c r="G334" t="str">
        <f t="shared" si="17"/>
        <v>'Distance':5.2</v>
      </c>
      <c r="H334" t="s">
        <v>121</v>
      </c>
    </row>
    <row r="335" spans="1:8" x14ac:dyDescent="0.25">
      <c r="A335" s="27">
        <v>18</v>
      </c>
      <c r="B335" s="27">
        <v>18</v>
      </c>
      <c r="C335">
        <v>0</v>
      </c>
      <c r="D335" t="s">
        <v>120</v>
      </c>
      <c r="E335" t="str">
        <f t="shared" si="15"/>
        <v>'AddressFrom':18</v>
      </c>
      <c r="F335" t="str">
        <f t="shared" si="16"/>
        <v>'AddressTo':18</v>
      </c>
      <c r="G335" t="str">
        <f t="shared" si="17"/>
        <v>'Distance':0</v>
      </c>
      <c r="H335" t="s">
        <v>121</v>
      </c>
    </row>
    <row r="336" spans="1:8" x14ac:dyDescent="0.25">
      <c r="A336" s="27">
        <v>18</v>
      </c>
      <c r="B336" s="27">
        <v>19</v>
      </c>
      <c r="C336">
        <v>4.4000000000000004</v>
      </c>
      <c r="D336" t="s">
        <v>120</v>
      </c>
      <c r="E336" t="str">
        <f t="shared" si="15"/>
        <v>'AddressFrom':18</v>
      </c>
      <c r="F336" t="str">
        <f t="shared" si="16"/>
        <v>'AddressTo':19</v>
      </c>
      <c r="G336" t="str">
        <f t="shared" si="17"/>
        <v>'Distance':4.4</v>
      </c>
      <c r="H336" t="s">
        <v>121</v>
      </c>
    </row>
    <row r="337" spans="1:8" x14ac:dyDescent="0.25">
      <c r="A337" s="27">
        <v>18</v>
      </c>
      <c r="B337" s="27">
        <v>20</v>
      </c>
      <c r="C337">
        <v>4.5999999999999996</v>
      </c>
      <c r="D337" t="s">
        <v>120</v>
      </c>
      <c r="E337" t="str">
        <f t="shared" si="15"/>
        <v>'AddressFrom':18</v>
      </c>
      <c r="F337" t="str">
        <f t="shared" si="16"/>
        <v>'AddressTo':20</v>
      </c>
      <c r="G337" t="str">
        <f t="shared" si="17"/>
        <v>'Distance':4.6</v>
      </c>
      <c r="H337" t="s">
        <v>121</v>
      </c>
    </row>
    <row r="338" spans="1:8" x14ac:dyDescent="0.25">
      <c r="A338" s="27">
        <v>18</v>
      </c>
      <c r="B338" s="27">
        <v>21</v>
      </c>
      <c r="C338">
        <v>6.6</v>
      </c>
      <c r="D338" t="s">
        <v>120</v>
      </c>
      <c r="E338" t="str">
        <f t="shared" si="15"/>
        <v>'AddressFrom':18</v>
      </c>
      <c r="F338" t="str">
        <f t="shared" si="16"/>
        <v>'AddressTo':21</v>
      </c>
      <c r="G338" t="str">
        <f t="shared" si="17"/>
        <v>'Distance':6.6</v>
      </c>
      <c r="H338" t="s">
        <v>121</v>
      </c>
    </row>
    <row r="339" spans="1:8" x14ac:dyDescent="0.25">
      <c r="A339" s="27">
        <v>18</v>
      </c>
      <c r="B339" s="27">
        <v>22</v>
      </c>
      <c r="C339">
        <v>3.9</v>
      </c>
      <c r="D339" t="s">
        <v>120</v>
      </c>
      <c r="E339" t="str">
        <f t="shared" si="15"/>
        <v>'AddressFrom':18</v>
      </c>
      <c r="F339" t="str">
        <f t="shared" si="16"/>
        <v>'AddressTo':22</v>
      </c>
      <c r="G339" t="str">
        <f t="shared" si="17"/>
        <v>'Distance':3.9</v>
      </c>
      <c r="H339" t="s">
        <v>121</v>
      </c>
    </row>
    <row r="340" spans="1:8" x14ac:dyDescent="0.25">
      <c r="A340" s="27">
        <v>18</v>
      </c>
      <c r="B340" s="27">
        <v>23</v>
      </c>
      <c r="C340">
        <v>6.5</v>
      </c>
      <c r="D340" t="s">
        <v>120</v>
      </c>
      <c r="E340" t="str">
        <f t="shared" si="15"/>
        <v>'AddressFrom':18</v>
      </c>
      <c r="F340" t="str">
        <f t="shared" si="16"/>
        <v>'AddressTo':23</v>
      </c>
      <c r="G340" t="str">
        <f t="shared" si="17"/>
        <v>'Distance':6.5</v>
      </c>
      <c r="H340" t="s">
        <v>121</v>
      </c>
    </row>
    <row r="341" spans="1:8" x14ac:dyDescent="0.25">
      <c r="A341" s="27">
        <v>18</v>
      </c>
      <c r="B341" s="27">
        <v>24</v>
      </c>
      <c r="C341">
        <v>5.6</v>
      </c>
      <c r="D341" t="s">
        <v>120</v>
      </c>
      <c r="E341" t="str">
        <f t="shared" si="15"/>
        <v>'AddressFrom':18</v>
      </c>
      <c r="F341" t="str">
        <f t="shared" si="16"/>
        <v>'AddressTo':24</v>
      </c>
      <c r="G341" t="str">
        <f t="shared" si="17"/>
        <v>'Distance':5.6</v>
      </c>
      <c r="H341" t="s">
        <v>121</v>
      </c>
    </row>
    <row r="342" spans="1:8" x14ac:dyDescent="0.25">
      <c r="A342" s="27">
        <v>18</v>
      </c>
      <c r="B342" s="27">
        <v>25</v>
      </c>
      <c r="C342">
        <v>4.3</v>
      </c>
      <c r="D342" t="s">
        <v>120</v>
      </c>
      <c r="E342" t="str">
        <f t="shared" si="15"/>
        <v>'AddressFrom':18</v>
      </c>
      <c r="F342" t="str">
        <f t="shared" si="16"/>
        <v>'AddressTo':25</v>
      </c>
      <c r="G342" t="str">
        <f t="shared" si="17"/>
        <v>'Distance':4.3</v>
      </c>
      <c r="H342" t="s">
        <v>121</v>
      </c>
    </row>
    <row r="343" spans="1:8" x14ac:dyDescent="0.25">
      <c r="A343" s="27">
        <v>18</v>
      </c>
      <c r="B343" s="27">
        <v>26</v>
      </c>
      <c r="C343">
        <v>6.9</v>
      </c>
      <c r="D343" t="s">
        <v>120</v>
      </c>
      <c r="E343" t="str">
        <f t="shared" si="15"/>
        <v>'AddressFrom':18</v>
      </c>
      <c r="F343" t="str">
        <f t="shared" si="16"/>
        <v>'AddressTo':26</v>
      </c>
      <c r="G343" t="str">
        <f t="shared" si="17"/>
        <v>'Distance':6.9</v>
      </c>
      <c r="H343" t="s">
        <v>121</v>
      </c>
    </row>
    <row r="344" spans="1:8" x14ac:dyDescent="0.25">
      <c r="A344" s="27">
        <v>19</v>
      </c>
      <c r="B344" s="27">
        <v>19</v>
      </c>
      <c r="C344">
        <v>0</v>
      </c>
      <c r="D344" t="s">
        <v>120</v>
      </c>
      <c r="E344" t="str">
        <f t="shared" si="15"/>
        <v>'AddressFrom':19</v>
      </c>
      <c r="F344" t="str">
        <f t="shared" si="16"/>
        <v>'AddressTo':19</v>
      </c>
      <c r="G344" t="str">
        <f t="shared" si="17"/>
        <v>'Distance':0</v>
      </c>
      <c r="H344" t="s">
        <v>121</v>
      </c>
    </row>
    <row r="345" spans="1:8" x14ac:dyDescent="0.25">
      <c r="A345" s="27">
        <v>19</v>
      </c>
      <c r="B345" s="27">
        <v>20</v>
      </c>
      <c r="C345">
        <v>7.5</v>
      </c>
      <c r="D345" t="s">
        <v>120</v>
      </c>
      <c r="E345" t="str">
        <f t="shared" si="15"/>
        <v>'AddressFrom':19</v>
      </c>
      <c r="F345" t="str">
        <f t="shared" si="16"/>
        <v>'AddressTo':20</v>
      </c>
      <c r="G345" t="str">
        <f t="shared" si="17"/>
        <v>'Distance':7.5</v>
      </c>
      <c r="H345" t="s">
        <v>121</v>
      </c>
    </row>
    <row r="346" spans="1:8" x14ac:dyDescent="0.25">
      <c r="A346" s="27">
        <v>19</v>
      </c>
      <c r="B346" s="27">
        <v>21</v>
      </c>
      <c r="C346">
        <v>9.3000000000000007</v>
      </c>
      <c r="D346" t="s">
        <v>120</v>
      </c>
      <c r="E346" t="str">
        <f t="shared" si="15"/>
        <v>'AddressFrom':19</v>
      </c>
      <c r="F346" t="str">
        <f t="shared" si="16"/>
        <v>'AddressTo':21</v>
      </c>
      <c r="G346" t="str">
        <f t="shared" si="17"/>
        <v>'Distance':9.3</v>
      </c>
      <c r="H346" t="s">
        <v>121</v>
      </c>
    </row>
    <row r="347" spans="1:8" x14ac:dyDescent="0.25">
      <c r="A347" s="27">
        <v>19</v>
      </c>
      <c r="B347" s="27">
        <v>22</v>
      </c>
      <c r="C347">
        <v>6.8</v>
      </c>
      <c r="D347" t="s">
        <v>120</v>
      </c>
      <c r="E347" t="str">
        <f t="shared" si="15"/>
        <v>'AddressFrom':19</v>
      </c>
      <c r="F347" t="str">
        <f t="shared" si="16"/>
        <v>'AddressTo':22</v>
      </c>
      <c r="G347" t="str">
        <f t="shared" si="17"/>
        <v>'Distance':6.8</v>
      </c>
      <c r="H347" t="s">
        <v>121</v>
      </c>
    </row>
    <row r="348" spans="1:8" x14ac:dyDescent="0.25">
      <c r="A348" s="27">
        <v>19</v>
      </c>
      <c r="B348" s="27">
        <v>23</v>
      </c>
      <c r="C348">
        <v>11.4</v>
      </c>
      <c r="D348" t="s">
        <v>120</v>
      </c>
      <c r="E348" t="str">
        <f t="shared" si="15"/>
        <v>'AddressFrom':19</v>
      </c>
      <c r="F348" t="str">
        <f t="shared" si="16"/>
        <v>'AddressTo':23</v>
      </c>
      <c r="G348" t="str">
        <f t="shared" si="17"/>
        <v>'Distance':11.4</v>
      </c>
      <c r="H348" t="s">
        <v>121</v>
      </c>
    </row>
    <row r="349" spans="1:8" x14ac:dyDescent="0.25">
      <c r="A349" s="27">
        <v>19</v>
      </c>
      <c r="B349" s="27">
        <v>24</v>
      </c>
      <c r="C349">
        <v>8.5</v>
      </c>
      <c r="D349" t="s">
        <v>120</v>
      </c>
      <c r="E349" t="str">
        <f t="shared" si="15"/>
        <v>'AddressFrom':19</v>
      </c>
      <c r="F349" t="str">
        <f t="shared" si="16"/>
        <v>'AddressTo':24</v>
      </c>
      <c r="G349" t="str">
        <f t="shared" si="17"/>
        <v>'Distance':8.5</v>
      </c>
      <c r="H349" t="s">
        <v>121</v>
      </c>
    </row>
    <row r="350" spans="1:8" x14ac:dyDescent="0.25">
      <c r="A350" s="27">
        <v>19</v>
      </c>
      <c r="B350" s="27">
        <v>25</v>
      </c>
      <c r="C350">
        <v>1.8</v>
      </c>
      <c r="D350" t="s">
        <v>120</v>
      </c>
      <c r="E350" t="str">
        <f t="shared" si="15"/>
        <v>'AddressFrom':19</v>
      </c>
      <c r="F350" t="str">
        <f t="shared" si="16"/>
        <v>'AddressTo':25</v>
      </c>
      <c r="G350" t="str">
        <f t="shared" si="17"/>
        <v>'Distance':1.8</v>
      </c>
      <c r="H350" t="s">
        <v>121</v>
      </c>
    </row>
    <row r="351" spans="1:8" x14ac:dyDescent="0.25">
      <c r="A351" s="27">
        <v>19</v>
      </c>
      <c r="B351" s="27">
        <v>26</v>
      </c>
      <c r="C351">
        <v>13.1</v>
      </c>
      <c r="D351" t="s">
        <v>120</v>
      </c>
      <c r="E351" t="str">
        <f t="shared" si="15"/>
        <v>'AddressFrom':19</v>
      </c>
      <c r="F351" t="str">
        <f t="shared" si="16"/>
        <v>'AddressTo':26</v>
      </c>
      <c r="G351" t="str">
        <f t="shared" si="17"/>
        <v>'Distance':13.1</v>
      </c>
      <c r="H351" t="s">
        <v>121</v>
      </c>
    </row>
    <row r="352" spans="1:8" x14ac:dyDescent="0.25">
      <c r="A352" s="27">
        <v>20</v>
      </c>
      <c r="B352" s="27">
        <v>20</v>
      </c>
      <c r="C352">
        <v>0</v>
      </c>
      <c r="D352" t="s">
        <v>120</v>
      </c>
      <c r="E352" t="str">
        <f t="shared" si="15"/>
        <v>'AddressFrom':20</v>
      </c>
      <c r="F352" t="str">
        <f t="shared" si="16"/>
        <v>'AddressTo':20</v>
      </c>
      <c r="G352" t="str">
        <f t="shared" si="17"/>
        <v>'Distance':0</v>
      </c>
      <c r="H352" t="s">
        <v>121</v>
      </c>
    </row>
    <row r="353" spans="1:8" x14ac:dyDescent="0.25">
      <c r="A353" s="27">
        <v>20</v>
      </c>
      <c r="B353" s="27">
        <v>21</v>
      </c>
      <c r="C353">
        <v>2</v>
      </c>
      <c r="D353" t="s">
        <v>120</v>
      </c>
      <c r="E353" t="str">
        <f t="shared" si="15"/>
        <v>'AddressFrom':20</v>
      </c>
      <c r="F353" t="str">
        <f t="shared" si="16"/>
        <v>'AddressTo':21</v>
      </c>
      <c r="G353" t="str">
        <f t="shared" si="17"/>
        <v>'Distance':2</v>
      </c>
      <c r="H353" t="s">
        <v>121</v>
      </c>
    </row>
    <row r="354" spans="1:8" x14ac:dyDescent="0.25">
      <c r="A354" s="27">
        <v>20</v>
      </c>
      <c r="B354" s="27">
        <v>22</v>
      </c>
      <c r="C354">
        <v>2.9</v>
      </c>
      <c r="D354" t="s">
        <v>120</v>
      </c>
      <c r="E354" t="str">
        <f t="shared" si="15"/>
        <v>'AddressFrom':20</v>
      </c>
      <c r="F354" t="str">
        <f t="shared" si="16"/>
        <v>'AddressTo':22</v>
      </c>
      <c r="G354" t="str">
        <f t="shared" si="17"/>
        <v>'Distance':2.9</v>
      </c>
      <c r="H354" t="s">
        <v>121</v>
      </c>
    </row>
    <row r="355" spans="1:8" x14ac:dyDescent="0.25">
      <c r="A355" s="27">
        <v>20</v>
      </c>
      <c r="B355" s="27">
        <v>23</v>
      </c>
      <c r="C355">
        <v>6.4</v>
      </c>
      <c r="D355" t="s">
        <v>120</v>
      </c>
      <c r="E355" t="str">
        <f t="shared" si="15"/>
        <v>'AddressFrom':20</v>
      </c>
      <c r="F355" t="str">
        <f t="shared" si="16"/>
        <v>'AddressTo':23</v>
      </c>
      <c r="G355" t="str">
        <f t="shared" si="17"/>
        <v>'Distance':6.4</v>
      </c>
      <c r="H355" t="s">
        <v>121</v>
      </c>
    </row>
    <row r="356" spans="1:8" x14ac:dyDescent="0.25">
      <c r="A356" s="27">
        <v>20</v>
      </c>
      <c r="B356" s="27">
        <v>24</v>
      </c>
      <c r="C356">
        <v>2.8</v>
      </c>
      <c r="D356" t="s">
        <v>120</v>
      </c>
      <c r="E356" t="str">
        <f t="shared" si="15"/>
        <v>'AddressFrom':20</v>
      </c>
      <c r="F356" t="str">
        <f t="shared" si="16"/>
        <v>'AddressTo':24</v>
      </c>
      <c r="G356" t="str">
        <f t="shared" si="17"/>
        <v>'Distance':2.8</v>
      </c>
      <c r="H356" t="s">
        <v>121</v>
      </c>
    </row>
    <row r="357" spans="1:8" x14ac:dyDescent="0.25">
      <c r="A357" s="27">
        <v>20</v>
      </c>
      <c r="B357" s="27">
        <v>25</v>
      </c>
      <c r="C357">
        <v>6</v>
      </c>
      <c r="D357" t="s">
        <v>120</v>
      </c>
      <c r="E357" t="str">
        <f t="shared" si="15"/>
        <v>'AddressFrom':20</v>
      </c>
      <c r="F357" t="str">
        <f t="shared" si="16"/>
        <v>'AddressTo':25</v>
      </c>
      <c r="G357" t="str">
        <f t="shared" si="17"/>
        <v>'Distance':6</v>
      </c>
      <c r="H357" t="s">
        <v>121</v>
      </c>
    </row>
    <row r="358" spans="1:8" x14ac:dyDescent="0.25">
      <c r="A358" s="27">
        <v>20</v>
      </c>
      <c r="B358" s="27">
        <v>26</v>
      </c>
      <c r="C358">
        <v>4.0999999999999996</v>
      </c>
      <c r="D358" t="s">
        <v>120</v>
      </c>
      <c r="E358" t="str">
        <f t="shared" si="15"/>
        <v>'AddressFrom':20</v>
      </c>
      <c r="F358" t="str">
        <f t="shared" si="16"/>
        <v>'AddressTo':26</v>
      </c>
      <c r="G358" t="str">
        <f t="shared" si="17"/>
        <v>'Distance':4.1</v>
      </c>
      <c r="H358" t="s">
        <v>121</v>
      </c>
    </row>
    <row r="359" spans="1:8" x14ac:dyDescent="0.25">
      <c r="A359" s="27">
        <v>21</v>
      </c>
      <c r="B359" s="27">
        <v>21</v>
      </c>
      <c r="C359">
        <v>0</v>
      </c>
      <c r="D359" t="s">
        <v>120</v>
      </c>
      <c r="E359" t="str">
        <f t="shared" si="15"/>
        <v>'AddressFrom':21</v>
      </c>
      <c r="F359" t="str">
        <f t="shared" si="16"/>
        <v>'AddressTo':21</v>
      </c>
      <c r="G359" t="str">
        <f t="shared" si="17"/>
        <v>'Distance':0</v>
      </c>
      <c r="H359" t="s">
        <v>121</v>
      </c>
    </row>
    <row r="360" spans="1:8" x14ac:dyDescent="0.25">
      <c r="A360" s="27">
        <v>21</v>
      </c>
      <c r="B360" s="27">
        <v>22</v>
      </c>
      <c r="C360">
        <v>4.4000000000000004</v>
      </c>
      <c r="D360" t="s">
        <v>120</v>
      </c>
      <c r="E360" t="str">
        <f t="shared" si="15"/>
        <v>'AddressFrom':21</v>
      </c>
      <c r="F360" t="str">
        <f t="shared" si="16"/>
        <v>'AddressTo':22</v>
      </c>
      <c r="G360" t="str">
        <f t="shared" si="17"/>
        <v>'Distance':4.4</v>
      </c>
      <c r="H360" t="s">
        <v>121</v>
      </c>
    </row>
    <row r="361" spans="1:8" x14ac:dyDescent="0.25">
      <c r="A361" s="27">
        <v>21</v>
      </c>
      <c r="B361" s="27">
        <v>23</v>
      </c>
      <c r="C361">
        <v>7.9</v>
      </c>
      <c r="D361" t="s">
        <v>120</v>
      </c>
      <c r="E361" t="str">
        <f t="shared" si="15"/>
        <v>'AddressFrom':21</v>
      </c>
      <c r="F361" t="str">
        <f t="shared" si="16"/>
        <v>'AddressTo':23</v>
      </c>
      <c r="G361" t="str">
        <f t="shared" si="17"/>
        <v>'Distance':7.9</v>
      </c>
      <c r="H361" t="s">
        <v>121</v>
      </c>
    </row>
    <row r="362" spans="1:8" x14ac:dyDescent="0.25">
      <c r="A362" s="27">
        <v>21</v>
      </c>
      <c r="B362" s="27">
        <v>24</v>
      </c>
      <c r="C362">
        <v>3.4</v>
      </c>
      <c r="D362" t="s">
        <v>120</v>
      </c>
      <c r="E362" t="str">
        <f t="shared" si="15"/>
        <v>'AddressFrom':21</v>
      </c>
      <c r="F362" t="str">
        <f t="shared" si="16"/>
        <v>'AddressTo':24</v>
      </c>
      <c r="G362" t="str">
        <f t="shared" si="17"/>
        <v>'Distance':3.4</v>
      </c>
      <c r="H362" t="s">
        <v>121</v>
      </c>
    </row>
    <row r="363" spans="1:8" x14ac:dyDescent="0.25">
      <c r="A363" s="27">
        <v>21</v>
      </c>
      <c r="B363" s="27">
        <v>25</v>
      </c>
      <c r="C363">
        <v>7.9</v>
      </c>
      <c r="D363" t="s">
        <v>120</v>
      </c>
      <c r="E363" t="str">
        <f t="shared" si="15"/>
        <v>'AddressFrom':21</v>
      </c>
      <c r="F363" t="str">
        <f t="shared" si="16"/>
        <v>'AddressTo':25</v>
      </c>
      <c r="G363" t="str">
        <f t="shared" si="17"/>
        <v>'Distance':7.9</v>
      </c>
      <c r="H363" t="s">
        <v>121</v>
      </c>
    </row>
    <row r="364" spans="1:8" x14ac:dyDescent="0.25">
      <c r="A364" s="27">
        <v>21</v>
      </c>
      <c r="B364" s="27">
        <v>26</v>
      </c>
      <c r="C364">
        <v>4.7</v>
      </c>
      <c r="D364" t="s">
        <v>120</v>
      </c>
      <c r="E364" t="str">
        <f t="shared" si="15"/>
        <v>'AddressFrom':21</v>
      </c>
      <c r="F364" t="str">
        <f t="shared" si="16"/>
        <v>'AddressTo':26</v>
      </c>
      <c r="G364" t="str">
        <f t="shared" si="17"/>
        <v>'Distance':4.7</v>
      </c>
      <c r="H364" t="s">
        <v>121</v>
      </c>
    </row>
    <row r="365" spans="1:8" x14ac:dyDescent="0.25">
      <c r="A365" s="27">
        <v>22</v>
      </c>
      <c r="B365" s="27">
        <v>22</v>
      </c>
      <c r="C365">
        <v>0</v>
      </c>
      <c r="D365" t="s">
        <v>120</v>
      </c>
      <c r="E365" t="str">
        <f t="shared" si="15"/>
        <v>'AddressFrom':22</v>
      </c>
      <c r="F365" t="str">
        <f t="shared" si="16"/>
        <v>'AddressTo':22</v>
      </c>
      <c r="G365" t="str">
        <f t="shared" si="17"/>
        <v>'Distance':0</v>
      </c>
      <c r="H365" t="s">
        <v>121</v>
      </c>
    </row>
    <row r="366" spans="1:8" x14ac:dyDescent="0.25">
      <c r="A366" s="27">
        <v>22</v>
      </c>
      <c r="B366" s="27">
        <v>23</v>
      </c>
      <c r="C366">
        <v>4.5</v>
      </c>
      <c r="D366" t="s">
        <v>120</v>
      </c>
      <c r="E366" t="str">
        <f t="shared" si="15"/>
        <v>'AddressFrom':22</v>
      </c>
      <c r="F366" t="str">
        <f t="shared" si="16"/>
        <v>'AddressTo':23</v>
      </c>
      <c r="G366" t="str">
        <f t="shared" si="17"/>
        <v>'Distance':4.5</v>
      </c>
      <c r="H366" t="s">
        <v>121</v>
      </c>
    </row>
    <row r="367" spans="1:8" x14ac:dyDescent="0.25">
      <c r="A367" s="27">
        <v>22</v>
      </c>
      <c r="B367" s="27">
        <v>24</v>
      </c>
      <c r="C367">
        <v>1.7</v>
      </c>
      <c r="D367" t="s">
        <v>120</v>
      </c>
      <c r="E367" t="str">
        <f t="shared" si="15"/>
        <v>'AddressFrom':22</v>
      </c>
      <c r="F367" t="str">
        <f t="shared" si="16"/>
        <v>'AddressTo':24</v>
      </c>
      <c r="G367" t="str">
        <f t="shared" si="17"/>
        <v>'Distance':1.7</v>
      </c>
      <c r="H367" t="s">
        <v>121</v>
      </c>
    </row>
    <row r="368" spans="1:8" x14ac:dyDescent="0.25">
      <c r="A368" s="27">
        <v>22</v>
      </c>
      <c r="B368" s="27">
        <v>25</v>
      </c>
      <c r="C368">
        <v>6.8</v>
      </c>
      <c r="D368" t="s">
        <v>120</v>
      </c>
      <c r="E368" t="str">
        <f t="shared" si="15"/>
        <v>'AddressFrom':22</v>
      </c>
      <c r="F368" t="str">
        <f t="shared" si="16"/>
        <v>'AddressTo':25</v>
      </c>
      <c r="G368" t="str">
        <f t="shared" si="17"/>
        <v>'Distance':6.8</v>
      </c>
      <c r="H368" t="s">
        <v>121</v>
      </c>
    </row>
    <row r="369" spans="1:8" x14ac:dyDescent="0.25">
      <c r="A369" s="27">
        <v>22</v>
      </c>
      <c r="B369" s="27">
        <v>26</v>
      </c>
      <c r="C369">
        <v>3.1</v>
      </c>
      <c r="D369" t="s">
        <v>120</v>
      </c>
      <c r="E369" t="str">
        <f t="shared" si="15"/>
        <v>'AddressFrom':22</v>
      </c>
      <c r="F369" t="str">
        <f t="shared" si="16"/>
        <v>'AddressTo':26</v>
      </c>
      <c r="G369" t="str">
        <f t="shared" si="17"/>
        <v>'Distance':3.1</v>
      </c>
      <c r="H369" t="s">
        <v>121</v>
      </c>
    </row>
    <row r="370" spans="1:8" x14ac:dyDescent="0.25">
      <c r="A370" s="27">
        <v>23</v>
      </c>
      <c r="B370" s="27">
        <v>23</v>
      </c>
      <c r="C370">
        <v>0</v>
      </c>
      <c r="D370" t="s">
        <v>120</v>
      </c>
      <c r="E370" t="str">
        <f t="shared" si="15"/>
        <v>'AddressFrom':23</v>
      </c>
      <c r="F370" t="str">
        <f t="shared" si="16"/>
        <v>'AddressTo':23</v>
      </c>
      <c r="G370" t="str">
        <f t="shared" si="17"/>
        <v>'Distance':0</v>
      </c>
      <c r="H370" t="s">
        <v>121</v>
      </c>
    </row>
    <row r="371" spans="1:8" x14ac:dyDescent="0.25">
      <c r="A371" s="27">
        <v>23</v>
      </c>
      <c r="B371" s="27">
        <v>24</v>
      </c>
      <c r="C371">
        <v>5.4</v>
      </c>
      <c r="D371" t="s">
        <v>120</v>
      </c>
      <c r="E371" t="str">
        <f t="shared" si="15"/>
        <v>'AddressFrom':23</v>
      </c>
      <c r="F371" t="str">
        <f t="shared" si="16"/>
        <v>'AddressTo':24</v>
      </c>
      <c r="G371" t="str">
        <f t="shared" si="17"/>
        <v>'Distance':5.4</v>
      </c>
      <c r="H371" t="s">
        <v>121</v>
      </c>
    </row>
    <row r="372" spans="1:8" x14ac:dyDescent="0.25">
      <c r="A372" s="27">
        <v>23</v>
      </c>
      <c r="B372" s="27">
        <v>25</v>
      </c>
      <c r="C372">
        <v>10.6</v>
      </c>
      <c r="D372" t="s">
        <v>120</v>
      </c>
      <c r="E372" t="str">
        <f t="shared" si="15"/>
        <v>'AddressFrom':23</v>
      </c>
      <c r="F372" t="str">
        <f t="shared" si="16"/>
        <v>'AddressTo':25</v>
      </c>
      <c r="G372" t="str">
        <f t="shared" si="17"/>
        <v>'Distance':10.6</v>
      </c>
      <c r="H372" t="s">
        <v>121</v>
      </c>
    </row>
    <row r="373" spans="1:8" x14ac:dyDescent="0.25">
      <c r="A373" s="27">
        <v>23</v>
      </c>
      <c r="B373" s="27">
        <v>26</v>
      </c>
      <c r="C373">
        <v>7.8</v>
      </c>
      <c r="D373" t="s">
        <v>120</v>
      </c>
      <c r="E373" t="str">
        <f t="shared" si="15"/>
        <v>'AddressFrom':23</v>
      </c>
      <c r="F373" t="str">
        <f t="shared" si="16"/>
        <v>'AddressTo':26</v>
      </c>
      <c r="G373" t="str">
        <f t="shared" si="17"/>
        <v>'Distance':7.8</v>
      </c>
      <c r="H373" t="s">
        <v>121</v>
      </c>
    </row>
    <row r="374" spans="1:8" x14ac:dyDescent="0.25">
      <c r="A374" s="27">
        <v>24</v>
      </c>
      <c r="B374" s="27">
        <v>24</v>
      </c>
      <c r="C374">
        <v>0</v>
      </c>
      <c r="D374" t="s">
        <v>120</v>
      </c>
      <c r="E374" t="str">
        <f t="shared" si="15"/>
        <v>'AddressFrom':24</v>
      </c>
      <c r="F374" t="str">
        <f t="shared" si="16"/>
        <v>'AddressTo':24</v>
      </c>
      <c r="G374" t="str">
        <f t="shared" si="17"/>
        <v>'Distance':0</v>
      </c>
      <c r="H374" t="s">
        <v>121</v>
      </c>
    </row>
    <row r="375" spans="1:8" x14ac:dyDescent="0.25">
      <c r="A375" s="27">
        <v>24</v>
      </c>
      <c r="B375" s="27">
        <v>25</v>
      </c>
      <c r="C375">
        <v>7</v>
      </c>
      <c r="D375" t="s">
        <v>120</v>
      </c>
      <c r="E375" t="str">
        <f t="shared" si="15"/>
        <v>'AddressFrom':24</v>
      </c>
      <c r="F375" t="str">
        <f t="shared" si="16"/>
        <v>'AddressTo':25</v>
      </c>
      <c r="G375" t="str">
        <f t="shared" si="17"/>
        <v>'Distance':7</v>
      </c>
      <c r="H375" t="s">
        <v>121</v>
      </c>
    </row>
    <row r="376" spans="1:8" x14ac:dyDescent="0.25">
      <c r="A376" s="27">
        <v>24</v>
      </c>
      <c r="B376" s="27">
        <v>26</v>
      </c>
      <c r="C376">
        <v>1.3</v>
      </c>
      <c r="D376" t="s">
        <v>120</v>
      </c>
      <c r="E376" t="str">
        <f t="shared" si="15"/>
        <v>'AddressFrom':24</v>
      </c>
      <c r="F376" t="str">
        <f t="shared" si="16"/>
        <v>'AddressTo':26</v>
      </c>
      <c r="G376" t="str">
        <f t="shared" si="17"/>
        <v>'Distance':1.3</v>
      </c>
      <c r="H376" t="s">
        <v>121</v>
      </c>
    </row>
    <row r="377" spans="1:8" x14ac:dyDescent="0.25">
      <c r="A377" s="27">
        <v>25</v>
      </c>
      <c r="B377" s="27">
        <v>25</v>
      </c>
      <c r="C377">
        <v>0</v>
      </c>
      <c r="D377" t="s">
        <v>120</v>
      </c>
      <c r="E377" t="str">
        <f t="shared" si="15"/>
        <v>'AddressFrom':25</v>
      </c>
      <c r="F377" t="str">
        <f t="shared" si="16"/>
        <v>'AddressTo':25</v>
      </c>
      <c r="G377" t="str">
        <f t="shared" si="17"/>
        <v>'Distance':0</v>
      </c>
      <c r="H377" t="s">
        <v>121</v>
      </c>
    </row>
    <row r="378" spans="1:8" x14ac:dyDescent="0.25">
      <c r="A378" s="27">
        <v>25</v>
      </c>
      <c r="B378" s="27">
        <v>26</v>
      </c>
      <c r="C378">
        <v>8.3000000000000007</v>
      </c>
      <c r="D378" t="s">
        <v>120</v>
      </c>
      <c r="E378" t="str">
        <f t="shared" si="15"/>
        <v>'AddressFrom':25</v>
      </c>
      <c r="F378" t="str">
        <f t="shared" si="16"/>
        <v>'AddressTo':26</v>
      </c>
      <c r="G378" t="str">
        <f t="shared" si="17"/>
        <v>'Distance':8.3</v>
      </c>
      <c r="H378" t="s">
        <v>121</v>
      </c>
    </row>
    <row r="379" spans="1:8" x14ac:dyDescent="0.25">
      <c r="A379" s="27">
        <v>26</v>
      </c>
      <c r="B379" s="27">
        <v>26</v>
      </c>
      <c r="C379">
        <v>0</v>
      </c>
      <c r="D379" t="s">
        <v>120</v>
      </c>
      <c r="E379" t="str">
        <f t="shared" si="15"/>
        <v>'AddressFrom':26</v>
      </c>
      <c r="F379" t="str">
        <f t="shared" si="16"/>
        <v>'AddressTo':26</v>
      </c>
      <c r="G379" t="str">
        <f t="shared" si="17"/>
        <v>'Distance':0</v>
      </c>
      <c r="H379" t="s">
        <v>121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9F2A75005F2D43B30369DAED2CCB1C" ma:contentTypeVersion="40" ma:contentTypeDescription="Create a new document." ma:contentTypeScope="" ma:versionID="67abd11da167d8eab610c259a823e4c7">
  <xsd:schema xmlns:xsd="http://www.w3.org/2001/XMLSchema" xmlns:xs="http://www.w3.org/2001/XMLSchema" xmlns:p="http://schemas.microsoft.com/office/2006/metadata/properties" xmlns:ns1="http://schemas.microsoft.com/sharepoint/v3" xmlns:ns2="0feec74c-ecc7-44c3-9c64-3623cf89ed41" xmlns:ns3="1f707338-ea0f-4fe5-baee-59b996692b22" targetNamespace="http://schemas.microsoft.com/office/2006/metadata/properties" ma:root="true" ma:fieldsID="1d3ab84303ed41503c975572ff37e680" ns1:_="" ns2:_="" ns3:_="">
    <xsd:import namespace="http://schemas.microsoft.com/sharepoint/v3"/>
    <xsd:import namespace="0feec74c-ecc7-44c3-9c64-3623cf89ed41"/>
    <xsd:import namespace="1f707338-ea0f-4fe5-baee-59b996692b22"/>
    <xsd:element name="properties">
      <xsd:complexType>
        <xsd:sequence>
          <xsd:element name="documentManagement">
            <xsd:complexType>
              <xsd:all>
                <xsd:element ref="ns2:SME" minOccurs="0"/>
                <xsd:element ref="ns2:Editor0" minOccurs="0"/>
                <xsd:element ref="ns2:Assessment_x0020_Type" minOccurs="0"/>
                <xsd:element ref="ns2:Step_x0020_Completed" minOccurs="0"/>
                <xsd:element ref="ns2:Performance_x0020_Steps_x0020_Completed" minOccurs="0"/>
                <xsd:element ref="ns2:Publication_x0020_Date" minOccurs="0"/>
                <xsd:element ref="ns2:Launch_x0020_Date" minOccurs="0"/>
                <xsd:element ref="ns2:Vendor" minOccurs="0"/>
                <xsd:element ref="ns2:Doc_x0020_Type" minOccurs="0"/>
                <xsd:element ref="ns2:Course_x0020_code" minOccurs="0"/>
                <xsd:element ref="ns2:Discipline" minOccurs="0"/>
                <xsd:element ref="ns2:Course_x0020_number" minOccurs="0"/>
                <xsd:element ref="ns2:Course_x0020_title" minOccurs="0"/>
                <xsd:element ref="ns2:Course_x0020_short_x0020_name" minOccurs="0"/>
                <xsd:element ref="ns2:d5fh" minOccurs="0"/>
                <xsd:element ref="ns2:qrac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3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3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eec74c-ecc7-44c3-9c64-3623cf89ed41" elementFormDefault="qualified">
    <xsd:import namespace="http://schemas.microsoft.com/office/2006/documentManagement/types"/>
    <xsd:import namespace="http://schemas.microsoft.com/office/infopath/2007/PartnerControls"/>
    <xsd:element name="SME" ma:index="8" nillable="true" ma:displayName="SME" ma:internalName="SME" ma:readOnly="false">
      <xsd:simpleType>
        <xsd:restriction base="dms:Text">
          <xsd:maxLength value="255"/>
        </xsd:restriction>
      </xsd:simpleType>
    </xsd:element>
    <xsd:element name="Editor0" ma:index="9" nillable="true" ma:displayName="Editor" ma:list="UserInfo" ma:SharePointGroup="0" ma:internalName="Editor0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ssessment_x0020_Type" ma:index="10" nillable="true" ma:displayName="Assessment Type" ma:default="Objective" ma:description="Either for objective or performance assessments" ma:internalName="Assessment_x0020_Type" ma:readOnly="fals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Objective"/>
                    <xsd:enumeration value="Performance"/>
                  </xsd:restriction>
                </xsd:simpleType>
              </xsd:element>
            </xsd:sequence>
          </xsd:extension>
        </xsd:complexContent>
      </xsd:complexType>
    </xsd:element>
    <xsd:element name="Step_x0020_Completed" ma:index="11" nillable="true" ma:displayName="OA Steps Completed" ma:default="N/A" ma:description="Where the document is currently in the process." ma:internalName="Step_x0020_Completed" ma:readOnly="false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N/A"/>
                        <xsd:enumeration value="Item Writing"/>
                        <xsd:enumeration value="Psychometric Edit"/>
                        <xsd:enumeration value="Accuracy Review"/>
                        <xsd:enumeration value="Standard Setting"/>
                        <xsd:enumeration value="ADM Review"/>
                        <xsd:enumeration value="PDM Final Approval"/>
                        <xsd:enumeration value="Final Edit"/>
                        <xsd:enumeration value="Publication"/>
                        <xsd:enumeration value="Published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erformance_x0020_Steps_x0020_Completed" ma:index="12" nillable="true" ma:displayName="PA Steps Completed" ma:default="N/A" ma:description="Where the performance assessment is currently in the process." ma:internalName="Performance_x0020_Steps_x0020_Completed" ma:readOnly="false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N/A"/>
                        <xsd:enumeration value="Design Notes"/>
                        <xsd:enumeration value="Design Integrity"/>
                        <xsd:enumeration value="Tech Edit"/>
                        <xsd:enumeration value="QA1"/>
                        <xsd:enumeration value="Senior Edit"/>
                        <xsd:enumeration value="Student Focus Group"/>
                        <xsd:enumeration value="QA2"/>
                        <xsd:enumeration value="PDM Approval"/>
                        <xsd:enumeration value="Publication"/>
                        <xsd:enumeration value="Published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ublication_x0020_Date" ma:index="13" nillable="true" ma:displayName="Publication Date" ma:format="DateOnly" ma:internalName="Publication_x0020_Date" ma:readOnly="false">
      <xsd:simpleType>
        <xsd:restriction base="dms:DateTime"/>
      </xsd:simpleType>
    </xsd:element>
    <xsd:element name="Launch_x0020_Date" ma:index="14" nillable="true" ma:displayName="Launch Date" ma:format="DateOnly" ma:internalName="Launch_x0020_Date" ma:readOnly="false">
      <xsd:simpleType>
        <xsd:restriction base="dms:DateTime"/>
      </xsd:simpleType>
    </xsd:element>
    <xsd:element name="Vendor" ma:index="15" nillable="true" ma:displayName="Vendor" ma:default="N/A" ma:format="Dropdown" ma:internalName="Vendor" ma:readOnly="false">
      <xsd:simpleType>
        <xsd:union memberTypes="dms:Text">
          <xsd:simpleType>
            <xsd:restriction base="dms:Choice">
              <xsd:enumeration value="N/A"/>
              <xsd:enumeration value="In-house"/>
              <xsd:enumeration value="Caveon"/>
              <xsd:enumeration value="CMS"/>
            </xsd:restriction>
          </xsd:simpleType>
        </xsd:union>
      </xsd:simpleType>
    </xsd:element>
    <xsd:element name="Doc_x0020_Type" ma:index="16" nillable="true" ma:displayName="Doc Type" ma:internalName="Doc_x0020_Type" ma:readOnly="false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N/A"/>
                        <xsd:enumeration value="Portfolio"/>
                        <xsd:enumeration value="Item"/>
                        <xsd:enumeration value="PA Template"/>
                        <xsd:enumeration value="Attachment"/>
                        <xsd:enumeration value="Approval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Course_x0020_code" ma:index="17" nillable="true" ma:displayName="Course code" ma:indexed="true" ma:internalName="Course_x0020_code" ma:readOnly="false">
      <xsd:simpleType>
        <xsd:restriction base="dms:Text">
          <xsd:maxLength value="255"/>
        </xsd:restriction>
      </xsd:simpleType>
    </xsd:element>
    <xsd:element name="Discipline" ma:index="18" nillable="true" ma:displayName="Discipline" ma:indexed="true" ma:internalName="Discipline" ma:readOnly="false">
      <xsd:simpleType>
        <xsd:restriction base="dms:Text">
          <xsd:maxLength value="255"/>
        </xsd:restriction>
      </xsd:simpleType>
    </xsd:element>
    <xsd:element name="Course_x0020_number" ma:index="19" nillable="true" ma:displayName="Course number" ma:indexed="true" ma:internalName="Course_x0020_number" ma:readOnly="false">
      <xsd:simpleType>
        <xsd:restriction base="dms:Text">
          <xsd:maxLength value="255"/>
        </xsd:restriction>
      </xsd:simpleType>
    </xsd:element>
    <xsd:element name="Course_x0020_title" ma:index="20" nillable="true" ma:displayName="Course title" ma:description="The full name of the course." ma:indexed="true" ma:internalName="Course_x0020_title" ma:readOnly="false">
      <xsd:simpleType>
        <xsd:restriction base="dms:Text">
          <xsd:maxLength value="255"/>
        </xsd:restriction>
      </xsd:simpleType>
    </xsd:element>
    <xsd:element name="Course_x0020_short_x0020_name" ma:index="21" nillable="true" ma:displayName="Course short name" ma:indexed="true" ma:internalName="Course_x0020_short_x0020_name" ma:readOnly="false">
      <xsd:simpleType>
        <xsd:restriction base="dms:Text">
          <xsd:maxLength value="255"/>
        </xsd:restriction>
      </xsd:simpleType>
    </xsd:element>
    <xsd:element name="d5fh" ma:index="22" nillable="true" ma:displayName="Domain" ma:internalName="d5fh" ma:readOnly="false" ma:percentage="FALSE">
      <xsd:simpleType>
        <xsd:restriction base="dms:Number"/>
      </xsd:simpleType>
    </xsd:element>
    <xsd:element name="qrac" ma:index="23" nillable="true" ma:displayName="Domain" ma:internalName="qrac" ma:readOnly="false">
      <xsd:simpleType>
        <xsd:restriction base="dms:Text"/>
      </xsd:simpleType>
    </xsd:element>
    <xsd:element name="MediaServiceMetadata" ma:index="2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26" nillable="true" ma:displayName="MediaServiceAutoTags" ma:internalName="MediaServiceAutoTags" ma:readOnly="true">
      <xsd:simpleType>
        <xsd:restriction base="dms:Text"/>
      </xsd:simpleType>
    </xsd:element>
    <xsd:element name="MediaServiceOCR" ma:index="2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2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707338-ea0f-4fe5-baee-59b996692b22" elementFormDefault="qualified">
    <xsd:import namespace="http://schemas.microsoft.com/office/2006/documentManagement/types"/>
    <xsd:import namespace="http://schemas.microsoft.com/office/infopath/2007/PartnerControls"/>
    <xsd:element name="SharedWithUsers" ma:index="3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endor xmlns="0feec74c-ecc7-44c3-9c64-3623cf89ed41">N/A</Vendor>
    <_ip_UnifiedCompliancePolicyUIAction xmlns="http://schemas.microsoft.com/sharepoint/v3" xsi:nil="true"/>
    <Launch_x0020_Date xmlns="0feec74c-ecc7-44c3-9c64-3623cf89ed41" xsi:nil="true"/>
    <Discipline xmlns="0feec74c-ecc7-44c3-9c64-3623cf89ed41" xsi:nil="true"/>
    <Course_x0020_code xmlns="0feec74c-ecc7-44c3-9c64-3623cf89ed41" xsi:nil="true"/>
    <Performance_x0020_Steps_x0020_Completed xmlns="0feec74c-ecc7-44c3-9c64-3623cf89ed41">
      <Value>N/A</Value>
    </Performance_x0020_Steps_x0020_Completed>
    <Course_x0020_short_x0020_name xmlns="0feec74c-ecc7-44c3-9c64-3623cf89ed41" xsi:nil="true"/>
    <_ip_UnifiedCompliancePolicyProperties xmlns="http://schemas.microsoft.com/sharepoint/v3" xsi:nil="true"/>
    <Course_x0020_number xmlns="0feec74c-ecc7-44c3-9c64-3623cf89ed41" xsi:nil="true"/>
    <Course_x0020_title xmlns="0feec74c-ecc7-44c3-9c64-3623cf89ed41" xsi:nil="true"/>
    <d5fh xmlns="0feec74c-ecc7-44c3-9c64-3623cf89ed41" xsi:nil="true"/>
    <Step_x0020_Completed xmlns="0feec74c-ecc7-44c3-9c64-3623cf89ed41">
      <Value>N/A</Value>
    </Step_x0020_Completed>
    <Assessment_x0020_Type xmlns="0feec74c-ecc7-44c3-9c64-3623cf89ed41">
      <Value>Objective</Value>
    </Assessment_x0020_Type>
    <Publication_x0020_Date xmlns="0feec74c-ecc7-44c3-9c64-3623cf89ed41" xsi:nil="true"/>
    <SME xmlns="0feec74c-ecc7-44c3-9c64-3623cf89ed41" xsi:nil="true"/>
    <Editor0 xmlns="0feec74c-ecc7-44c3-9c64-3623cf89ed41">
      <UserInfo>
        <DisplayName/>
        <AccountId xsi:nil="true"/>
        <AccountType/>
      </UserInfo>
    </Editor0>
    <Doc_x0020_Type xmlns="0feec74c-ecc7-44c3-9c64-3623cf89ed41"/>
    <qrac xmlns="0feec74c-ecc7-44c3-9c64-3623cf89ed41" xsi:nil="true"/>
  </documentManagement>
</p:properties>
</file>

<file path=customXml/itemProps1.xml><?xml version="1.0" encoding="utf-8"?>
<ds:datastoreItem xmlns:ds="http://schemas.openxmlformats.org/officeDocument/2006/customXml" ds:itemID="{51ED99C8-D91C-4521-83EC-2A0A02D5867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3388E46-74FF-49C2-B8E6-3BEB0ECD22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feec74c-ecc7-44c3-9c64-3623cf89ed41"/>
    <ds:schemaRef ds:uri="1f707338-ea0f-4fe5-baee-59b996692b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C12B168-B9E1-4151-98F9-C97DA1AB8BBF}">
  <ds:schemaRefs>
    <ds:schemaRef ds:uri="e7b1d905-24de-49f1-ac69-282527225b8e"/>
    <ds:schemaRef ds:uri="http://schemas.microsoft.com/office/2006/documentManagement/types"/>
    <ds:schemaRef ds:uri="986a1e7c-3408-4565-abd6-87412778acff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  <ds:schemaRef ds:uri="0feec74c-ecc7-44c3-9c64-3623cf89ed41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WGU</vt:lpstr>
      <vt:lpstr>WGU (2)</vt:lpstr>
      <vt:lpstr>Address</vt:lpstr>
      <vt:lpstr>Distance To Points</vt:lpstr>
      <vt:lpstr>AddressCSV</vt:lpstr>
      <vt:lpstr>DistanceCSV</vt:lpstr>
      <vt:lpstr>AddressJSON</vt:lpstr>
      <vt:lpstr>DistanceJSON</vt:lpstr>
    </vt:vector>
  </TitlesOfParts>
  <Manager/>
  <Company>Western Governors University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Mary Coleman</dc:creator>
  <cp:keywords/>
  <dc:description/>
  <cp:lastModifiedBy>Daniel Mudge</cp:lastModifiedBy>
  <cp:revision/>
  <dcterms:created xsi:type="dcterms:W3CDTF">2017-01-31T17:09:07Z</dcterms:created>
  <dcterms:modified xsi:type="dcterms:W3CDTF">2021-05-18T02:55:57Z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0x010100C39F2A75005F2D43B30369DAED2CCB1C</vt:lpwstr>
  </property>
</Properties>
</file>